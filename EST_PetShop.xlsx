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cauac\Downloads\"/>
    </mc:Choice>
  </mc:AlternateContent>
  <xr:revisionPtr revIDLastSave="0" documentId="13_ncr:1_{142A5620-5349-4608-A5A2-E0FF466FB15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Geral" sheetId="1" r:id="rId1"/>
    <sheet name="Atores" sheetId="2" r:id="rId2"/>
    <sheet name="RFS ou RFC" sheetId="3" r:id="rId3"/>
    <sheet name="Fatore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2" i="4" l="1"/>
  <c r="E19" i="4"/>
  <c r="D8" i="3"/>
  <c r="D7" i="3"/>
  <c r="D6" i="3"/>
  <c r="D10" i="3" s="1"/>
  <c r="D45" i="3" s="1"/>
  <c r="D8" i="2"/>
  <c r="D7" i="2"/>
  <c r="D10" i="2" s="1"/>
  <c r="D6" i="2"/>
  <c r="K18" i="1"/>
  <c r="E10" i="1" l="1"/>
  <c r="D16" i="2"/>
  <c r="J14" i="1" l="1"/>
  <c r="J10" i="1"/>
  <c r="J17" i="1"/>
  <c r="J13" i="1"/>
  <c r="J16" i="1"/>
  <c r="J12" i="1"/>
  <c r="J15" i="1"/>
  <c r="J11" i="1"/>
  <c r="J18" i="1" l="1"/>
</calcChain>
</file>

<file path=xl/sharedStrings.xml><?xml version="1.0" encoding="utf-8"?>
<sst xmlns="http://schemas.openxmlformats.org/spreadsheetml/2006/main" count="243" uniqueCount="183">
  <si>
    <t>Estimativa de Tamanho do Projeto</t>
  </si>
  <si>
    <t>Projeto:</t>
  </si>
  <si>
    <t>Sistema de Gerenciamento de Pet Shop</t>
  </si>
  <si>
    <t>Responsável:</t>
  </si>
  <si>
    <t>Data:</t>
  </si>
  <si>
    <t>31/05/2026</t>
  </si>
  <si>
    <t>Vs. do Documento:</t>
  </si>
  <si>
    <t>1.0</t>
  </si>
  <si>
    <t>Resultado da Estimativa</t>
  </si>
  <si>
    <t>Esforço por fases</t>
  </si>
  <si>
    <t>Horas</t>
  </si>
  <si>
    <t>%</t>
  </si>
  <si>
    <t>Total de Pontos de Caso de Uso (RFS)</t>
  </si>
  <si>
    <t>Fase de Prospecção</t>
  </si>
  <si>
    <t>Homens/hora por RFS</t>
  </si>
  <si>
    <t>Fase de Análise</t>
  </si>
  <si>
    <t>Fase de Projeto</t>
  </si>
  <si>
    <t>Fase de Planejamento</t>
  </si>
  <si>
    <t>Fase de Desenvolvimento</t>
  </si>
  <si>
    <t>Processo de Monitoramento</t>
  </si>
  <si>
    <t>Fase de Fechamento</t>
  </si>
  <si>
    <t>Controle de mudanças</t>
  </si>
  <si>
    <t>Total de horas do Projeto</t>
  </si>
  <si>
    <t>Atores do Projeto</t>
  </si>
  <si>
    <t>Complexidade do Ator</t>
  </si>
  <si>
    <t>Peso</t>
  </si>
  <si>
    <t>Qt. de Atores</t>
  </si>
  <si>
    <t>Simples</t>
  </si>
  <si>
    <t>Médio</t>
  </si>
  <si>
    <t>Complexo</t>
  </si>
  <si>
    <t>Peso Total Atores =</t>
  </si>
  <si>
    <t>Nro</t>
  </si>
  <si>
    <t>Ator</t>
  </si>
  <si>
    <t>Descrição</t>
  </si>
  <si>
    <t>Complexidade</t>
  </si>
  <si>
    <t>Administrador(a)</t>
  </si>
  <si>
    <t>Acesso total ao sistema, gerencia cadastros e relatórios</t>
  </si>
  <si>
    <t>Atendente</t>
  </si>
  <si>
    <t>Atendimento ao público, cadastro de clientes e agendamentos</t>
  </si>
  <si>
    <t>Sistema</t>
  </si>
  <si>
    <t>Processos automáticos (validações, cálculos)</t>
  </si>
  <si>
    <t>Total</t>
  </si>
  <si>
    <t>Casos de Uso do Projeto</t>
  </si>
  <si>
    <t>Complexidade do RF</t>
  </si>
  <si>
    <t>Qt. de UC</t>
  </si>
  <si>
    <t>Peso Total UC =</t>
  </si>
  <si>
    <t>ID</t>
  </si>
  <si>
    <t>Nome do RFC ou RFS</t>
  </si>
  <si>
    <t>Nro Entidades</t>
  </si>
  <si>
    <t>Discriminar Transações</t>
  </si>
  <si>
    <t>[RFC01]</t>
  </si>
  <si>
    <t>Manter Clientes</t>
  </si>
  <si>
    <t>Cliente</t>
  </si>
  <si>
    <t>[RFC02]</t>
  </si>
  <si>
    <t>Manter Funcionários</t>
  </si>
  <si>
    <t>Funcionário, Cargo</t>
  </si>
  <si>
    <t>[RFC03]</t>
  </si>
  <si>
    <t>Manter Pets</t>
  </si>
  <si>
    <t>Pet, Cliente, Espécie</t>
  </si>
  <si>
    <t>[RFC04]</t>
  </si>
  <si>
    <t>Manter Serviços</t>
  </si>
  <si>
    <t>Serviço</t>
  </si>
  <si>
    <t>[RFC05]</t>
  </si>
  <si>
    <t>Manter Agendamentos</t>
  </si>
  <si>
    <t>Agendamento, Pet, Serviço, Funcionário, Status</t>
  </si>
  <si>
    <t>[RFC06]</t>
  </si>
  <si>
    <t>Manter Produtos</t>
  </si>
  <si>
    <t>Produto, Categoria</t>
  </si>
  <si>
    <t>[RFC07]</t>
  </si>
  <si>
    <t>Emitir Relatório de Serviços por Período</t>
  </si>
  <si>
    <t>Agendamento, Serviço, Pet, Funcionário</t>
  </si>
  <si>
    <t>[RFC08]</t>
  </si>
  <si>
    <t>Emitir Relatório de Faturamento Mensal</t>
  </si>
  <si>
    <t>Agendamento, Serviço, Valor, Tipo</t>
  </si>
  <si>
    <t>[RFS01]</t>
  </si>
  <si>
    <t>Inserir Cliente</t>
  </si>
  <si>
    <t>[RFS02]</t>
  </si>
  <si>
    <t>Alterar Cliente</t>
  </si>
  <si>
    <t>[RFS03]</t>
  </si>
  <si>
    <t>Listar Clientes</t>
  </si>
  <si>
    <t>[RFS04]</t>
  </si>
  <si>
    <t>Remover Cliente</t>
  </si>
  <si>
    <t>Cliente, Pet</t>
  </si>
  <si>
    <t>[RFS05]</t>
  </si>
  <si>
    <t>Inserir Funcionário</t>
  </si>
  <si>
    <t>Funcionário</t>
  </si>
  <si>
    <t>[RFS06]</t>
  </si>
  <si>
    <t>Alterar Funcionário</t>
  </si>
  <si>
    <t>[RFS07]</t>
  </si>
  <si>
    <t>Listar Funcionários</t>
  </si>
  <si>
    <t>[RFS08]</t>
  </si>
  <si>
    <t>Remover Funcionário</t>
  </si>
  <si>
    <t>Funcionário, Agendamento</t>
  </si>
  <si>
    <t>[RFS09]</t>
  </si>
  <si>
    <t>Inserir Pet</t>
  </si>
  <si>
    <t>Pet, Cliente</t>
  </si>
  <si>
    <t>[RFS10]</t>
  </si>
  <si>
    <t>Alterar Pet</t>
  </si>
  <si>
    <t>Pet</t>
  </si>
  <si>
    <t>[RFS11]</t>
  </si>
  <si>
    <t>Listar Pets</t>
  </si>
  <si>
    <t>[RFS12]</t>
  </si>
  <si>
    <t>Remover Pet</t>
  </si>
  <si>
    <t>Pet, Agendamento</t>
  </si>
  <si>
    <t>[RFS13]</t>
  </si>
  <si>
    <t>Inserir Serviço</t>
  </si>
  <si>
    <t>[RFS14]</t>
  </si>
  <si>
    <t>Alterar Serviço</t>
  </si>
  <si>
    <t>[RFS15]</t>
  </si>
  <si>
    <t>Listar Serviços</t>
  </si>
  <si>
    <t>[RFS16]</t>
  </si>
  <si>
    <t>Remover Serviço</t>
  </si>
  <si>
    <t>Serviço, Agendamento</t>
  </si>
  <si>
    <t>[RFS17]</t>
  </si>
  <si>
    <t>Inserir Agendamento</t>
  </si>
  <si>
    <t>Agendamento, Pet, Serviço, Funcionário</t>
  </si>
  <si>
    <t>[RFS18]</t>
  </si>
  <si>
    <t>Alterar Agendamento</t>
  </si>
  <si>
    <t>Agendamento, Funcionário, Status</t>
  </si>
  <si>
    <t>[RFS19]</t>
  </si>
  <si>
    <t>Listar Agendamentos</t>
  </si>
  <si>
    <t>Agendamento, Pet, Cliente, Funcionário, Status</t>
  </si>
  <si>
    <t>[RFS20]</t>
  </si>
  <si>
    <t>Remover Agendamento</t>
  </si>
  <si>
    <t>Agendamento</t>
  </si>
  <si>
    <t>[RFS21]</t>
  </si>
  <si>
    <t>Inserir Produto</t>
  </si>
  <si>
    <t>[RFS22]</t>
  </si>
  <si>
    <t>Alterar Produto</t>
  </si>
  <si>
    <t>Produto</t>
  </si>
  <si>
    <t>[RFS23]</t>
  </si>
  <si>
    <t>Listar Produtos</t>
  </si>
  <si>
    <t>[RFS24]</t>
  </si>
  <si>
    <t>Remover Produto</t>
  </si>
  <si>
    <t>Fatores de Complexidade</t>
  </si>
  <si>
    <t>Influência Tecnológica</t>
  </si>
  <si>
    <t>Influência</t>
  </si>
  <si>
    <t>T01</t>
  </si>
  <si>
    <t>Sistemas Distribuídos</t>
  </si>
  <si>
    <t>T02</t>
  </si>
  <si>
    <t>Tempo de resposta</t>
  </si>
  <si>
    <t>T03</t>
  </si>
  <si>
    <t>Grau de escolaridade do usuário</t>
  </si>
  <si>
    <t>T04</t>
  </si>
  <si>
    <t>Processamento interno complexo</t>
  </si>
  <si>
    <t>T05</t>
  </si>
  <si>
    <t>Reusabilidade do código em outros projetos</t>
  </si>
  <si>
    <t>T06</t>
  </si>
  <si>
    <t>Facilidade de instalação</t>
  </si>
  <si>
    <t>T07</t>
  </si>
  <si>
    <t>Usabilidade (facilidade operacional)</t>
  </si>
  <si>
    <t>T08</t>
  </si>
  <si>
    <t>Portabilidade</t>
  </si>
  <si>
    <t>T09</t>
  </si>
  <si>
    <t>Facilidade de manutenção</t>
  </si>
  <si>
    <t>T10</t>
  </si>
  <si>
    <t>Concorrência</t>
  </si>
  <si>
    <t>T11</t>
  </si>
  <si>
    <t>Características especiais de segurança</t>
  </si>
  <si>
    <t>T12</t>
  </si>
  <si>
    <t>Acesso direto para terceiros</t>
  </si>
  <si>
    <t>T13</t>
  </si>
  <si>
    <t>Facilidades especiais de treinamento</t>
  </si>
  <si>
    <t>Fator de Complexidade Técnica</t>
  </si>
  <si>
    <t>Influência Ambiental</t>
  </si>
  <si>
    <t>F01</t>
  </si>
  <si>
    <t>Familiaridade com o Processo de Desenvolvimento</t>
  </si>
  <si>
    <t>F02</t>
  </si>
  <si>
    <t>Experiência na Aplicação</t>
  </si>
  <si>
    <t>F03</t>
  </si>
  <si>
    <t>Experiência em Programação Orientada a Objetos</t>
  </si>
  <si>
    <t>F04</t>
  </si>
  <si>
    <t>Capacidade do Líder de Projeto</t>
  </si>
  <si>
    <t>F05</t>
  </si>
  <si>
    <t>Motivação</t>
  </si>
  <si>
    <t>F06</t>
  </si>
  <si>
    <t>Requisitos estáveis</t>
  </si>
  <si>
    <t>F07</t>
  </si>
  <si>
    <t>Trabalhadores com dedicação parcial</t>
  </si>
  <si>
    <t>F08</t>
  </si>
  <si>
    <t>Dificuldade da Linguagem de Programação</t>
  </si>
  <si>
    <t>Fator de Complexidade Ambiental</t>
  </si>
  <si>
    <t>Caio Sano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</si>
</sst>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E8F0FE"/>
      </patternFill>
    </fill>
    <fill>
      <patternFill patternType="solid">
        <fgColor rgb="FFE8F0FE"/>
        <b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/>
    <xf numFmtId="0" fontId="3" fillId="0" borderId="1" xfId="0" applyFont="1" applyBorder="1"/>
    <xf numFmtId="0" fontId="2" fillId="0" borderId="1" xfId="0" applyFont="1" applyBorder="1"/>
    <xf numFmtId="0" fontId="4" fillId="2" borderId="1" xfId="0" applyFont="1" applyFill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9" fontId="3" fillId="0" borderId="1" xfId="0" applyNumberFormat="1" applyFont="1" applyBorder="1"/>
    <xf numFmtId="0" fontId="2" fillId="3" borderId="1" xfId="0" applyFont="1" applyFill="1" applyBorder="1"/>
    <xf numFmtId="9" fontId="2" fillId="3" borderId="1" xfId="0" applyNumberFormat="1" applyFont="1" applyFill="1" applyBorder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8F0F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8"/>
  <sheetViews>
    <sheetView tabSelected="1" zoomScaleNormal="100" workbookViewId="0">
      <selection activeCell="D15" sqref="D15"/>
    </sheetView>
  </sheetViews>
  <sheetFormatPr defaultColWidth="8.7109375" defaultRowHeight="15" x14ac:dyDescent="0.25"/>
  <cols>
    <col min="1" max="11" width="15" customWidth="1"/>
  </cols>
  <sheetData>
    <row r="2" spans="2:11" ht="18" x14ac:dyDescent="0.25">
      <c r="B2" s="5" t="s">
        <v>0</v>
      </c>
    </row>
    <row r="4" spans="2:11" x14ac:dyDescent="0.25">
      <c r="B4" s="6" t="s">
        <v>1</v>
      </c>
      <c r="D4" s="7" t="s">
        <v>2</v>
      </c>
    </row>
    <row r="5" spans="2:11" x14ac:dyDescent="0.25">
      <c r="B5" s="6" t="s">
        <v>3</v>
      </c>
      <c r="D5" s="7" t="s">
        <v>182</v>
      </c>
    </row>
    <row r="6" spans="2:11" x14ac:dyDescent="0.25">
      <c r="B6" s="6" t="s">
        <v>4</v>
      </c>
      <c r="D6" s="7" t="s">
        <v>5</v>
      </c>
      <c r="F6" s="6" t="s">
        <v>6</v>
      </c>
      <c r="H6" s="7" t="s">
        <v>7</v>
      </c>
    </row>
    <row r="9" spans="2:11" x14ac:dyDescent="0.25">
      <c r="B9" s="4" t="s">
        <v>8</v>
      </c>
      <c r="C9" s="4"/>
      <c r="D9" s="4"/>
      <c r="F9" s="4" t="s">
        <v>9</v>
      </c>
      <c r="G9" s="4"/>
      <c r="H9" s="4"/>
      <c r="I9" s="4"/>
      <c r="J9" s="8" t="s">
        <v>10</v>
      </c>
      <c r="K9" s="8" t="s">
        <v>11</v>
      </c>
    </row>
    <row r="10" spans="2:11" x14ac:dyDescent="0.25">
      <c r="B10" s="3" t="s">
        <v>12</v>
      </c>
      <c r="C10" s="3"/>
      <c r="D10" s="3"/>
      <c r="E10" s="9">
        <f>Atores!D10+'RFS ou RFC'!D10</f>
        <v>102</v>
      </c>
      <c r="F10" s="2" t="s">
        <v>13</v>
      </c>
      <c r="G10" s="2"/>
      <c r="H10" s="2"/>
      <c r="I10" s="2"/>
      <c r="J10" s="10">
        <f t="shared" ref="J10:J17" si="0">$E$10*$E$11*K10</f>
        <v>24.48</v>
      </c>
      <c r="K10" s="11">
        <v>0.08</v>
      </c>
    </row>
    <row r="11" spans="2:11" x14ac:dyDescent="0.25">
      <c r="B11" s="3" t="s">
        <v>14</v>
      </c>
      <c r="C11" s="3"/>
      <c r="D11" s="3"/>
      <c r="E11" s="9">
        <v>3</v>
      </c>
      <c r="F11" s="2" t="s">
        <v>15</v>
      </c>
      <c r="G11" s="2"/>
      <c r="H11" s="2"/>
      <c r="I11" s="2"/>
      <c r="J11" s="10">
        <f t="shared" si="0"/>
        <v>73.44</v>
      </c>
      <c r="K11" s="11">
        <v>0.24</v>
      </c>
    </row>
    <row r="12" spans="2:11" x14ac:dyDescent="0.25">
      <c r="F12" s="2" t="s">
        <v>16</v>
      </c>
      <c r="G12" s="2"/>
      <c r="H12" s="2"/>
      <c r="I12" s="2"/>
      <c r="J12" s="10">
        <f t="shared" si="0"/>
        <v>18.36</v>
      </c>
      <c r="K12" s="11">
        <v>0.06</v>
      </c>
    </row>
    <row r="13" spans="2:11" x14ac:dyDescent="0.25">
      <c r="F13" s="2" t="s">
        <v>17</v>
      </c>
      <c r="G13" s="2"/>
      <c r="H13" s="2"/>
      <c r="I13" s="2"/>
      <c r="J13" s="10">
        <f t="shared" si="0"/>
        <v>18.36</v>
      </c>
      <c r="K13" s="11">
        <v>0.06</v>
      </c>
    </row>
    <row r="14" spans="2:11" x14ac:dyDescent="0.25">
      <c r="F14" s="2" t="s">
        <v>18</v>
      </c>
      <c r="G14" s="2"/>
      <c r="H14" s="2"/>
      <c r="I14" s="2"/>
      <c r="J14" s="10">
        <f t="shared" si="0"/>
        <v>122.4</v>
      </c>
      <c r="K14" s="11">
        <v>0.4</v>
      </c>
    </row>
    <row r="15" spans="2:11" x14ac:dyDescent="0.25">
      <c r="F15" s="2" t="s">
        <v>19</v>
      </c>
      <c r="G15" s="2"/>
      <c r="H15" s="2"/>
      <c r="I15" s="2"/>
      <c r="J15" s="10">
        <f t="shared" si="0"/>
        <v>18.36</v>
      </c>
      <c r="K15" s="11">
        <v>0.06</v>
      </c>
    </row>
    <row r="16" spans="2:11" x14ac:dyDescent="0.25">
      <c r="F16" s="2" t="s">
        <v>20</v>
      </c>
      <c r="G16" s="2"/>
      <c r="H16" s="2"/>
      <c r="I16" s="2"/>
      <c r="J16" s="10">
        <f t="shared" si="0"/>
        <v>15.3</v>
      </c>
      <c r="K16" s="11">
        <v>0.05</v>
      </c>
    </row>
    <row r="17" spans="6:11" x14ac:dyDescent="0.25">
      <c r="F17" s="2" t="s">
        <v>21</v>
      </c>
      <c r="G17" s="2"/>
      <c r="H17" s="2"/>
      <c r="I17" s="2"/>
      <c r="J17" s="10">
        <f t="shared" si="0"/>
        <v>15.3</v>
      </c>
      <c r="K17" s="11">
        <v>0.05</v>
      </c>
    </row>
    <row r="18" spans="6:11" x14ac:dyDescent="0.25">
      <c r="F18" s="1" t="s">
        <v>22</v>
      </c>
      <c r="G18" s="1"/>
      <c r="H18" s="1"/>
      <c r="I18" s="1"/>
      <c r="J18" s="12">
        <f>SUM(J10:J17)</f>
        <v>306</v>
      </c>
      <c r="K18" s="13">
        <f>SUM(K10:K17)</f>
        <v>1.0000000000000002</v>
      </c>
    </row>
  </sheetData>
  <mergeCells count="13">
    <mergeCell ref="F17:I17"/>
    <mergeCell ref="F18:I18"/>
    <mergeCell ref="F12:I12"/>
    <mergeCell ref="F13:I13"/>
    <mergeCell ref="F14:I14"/>
    <mergeCell ref="F15:I15"/>
    <mergeCell ref="F16:I16"/>
    <mergeCell ref="B9:D9"/>
    <mergeCell ref="F9:I9"/>
    <mergeCell ref="B10:D10"/>
    <mergeCell ref="F10:I10"/>
    <mergeCell ref="B11:D11"/>
    <mergeCell ref="F11:I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16"/>
  <sheetViews>
    <sheetView zoomScaleNormal="100" workbookViewId="0"/>
  </sheetViews>
  <sheetFormatPr defaultColWidth="8.7109375" defaultRowHeight="15" x14ac:dyDescent="0.25"/>
  <cols>
    <col min="1" max="5" width="20" customWidth="1"/>
  </cols>
  <sheetData>
    <row r="2" spans="1:5" ht="18" x14ac:dyDescent="0.25">
      <c r="B2" s="5" t="s">
        <v>23</v>
      </c>
    </row>
    <row r="5" spans="1:5" x14ac:dyDescent="0.25">
      <c r="A5" s="14"/>
      <c r="B5" s="14" t="s">
        <v>24</v>
      </c>
      <c r="C5" s="14" t="s">
        <v>25</v>
      </c>
      <c r="D5" s="14" t="s">
        <v>26</v>
      </c>
    </row>
    <row r="6" spans="1:5" x14ac:dyDescent="0.25">
      <c r="B6" s="10" t="s">
        <v>27</v>
      </c>
      <c r="C6" s="10">
        <v>1</v>
      </c>
      <c r="D6" s="10">
        <f>COUNTIF(E13:E20,"Simples")</f>
        <v>1</v>
      </c>
    </row>
    <row r="7" spans="1:5" x14ac:dyDescent="0.25">
      <c r="B7" s="10" t="s">
        <v>28</v>
      </c>
      <c r="C7" s="10">
        <v>2</v>
      </c>
      <c r="D7" s="10">
        <f>COUNTIF(E13:E20,"Médio")</f>
        <v>0</v>
      </c>
    </row>
    <row r="8" spans="1:5" x14ac:dyDescent="0.25">
      <c r="B8" s="10" t="s">
        <v>29</v>
      </c>
      <c r="C8" s="10">
        <v>3</v>
      </c>
      <c r="D8" s="10">
        <f>COUNTIF(E13:E20,"Complexo")</f>
        <v>2</v>
      </c>
    </row>
    <row r="10" spans="1:5" x14ac:dyDescent="0.25">
      <c r="C10" s="9" t="s">
        <v>30</v>
      </c>
      <c r="D10" s="12">
        <f>(C6*D6)+(C7*D7)+(C8*D8)</f>
        <v>7</v>
      </c>
    </row>
    <row r="12" spans="1:5" x14ac:dyDescent="0.25">
      <c r="A12" s="14"/>
      <c r="B12" s="14" t="s">
        <v>31</v>
      </c>
      <c r="C12" s="14" t="s">
        <v>32</v>
      </c>
      <c r="D12" s="14" t="s">
        <v>33</v>
      </c>
      <c r="E12" s="14" t="s">
        <v>34</v>
      </c>
    </row>
    <row r="13" spans="1:5" x14ac:dyDescent="0.25">
      <c r="B13" s="10">
        <v>1</v>
      </c>
      <c r="C13" s="10" t="s">
        <v>35</v>
      </c>
      <c r="D13" s="10" t="s">
        <v>36</v>
      </c>
      <c r="E13" s="10" t="s">
        <v>29</v>
      </c>
    </row>
    <row r="14" spans="1:5" x14ac:dyDescent="0.25">
      <c r="B14" s="10">
        <v>2</v>
      </c>
      <c r="C14" s="10" t="s">
        <v>37</v>
      </c>
      <c r="D14" s="10" t="s">
        <v>38</v>
      </c>
      <c r="E14" s="10" t="s">
        <v>29</v>
      </c>
    </row>
    <row r="15" spans="1:5" x14ac:dyDescent="0.25">
      <c r="B15" s="10">
        <v>3</v>
      </c>
      <c r="C15" s="10" t="s">
        <v>39</v>
      </c>
      <c r="D15" s="10" t="s">
        <v>40</v>
      </c>
      <c r="E15" s="10" t="s">
        <v>27</v>
      </c>
    </row>
    <row r="16" spans="1:5" x14ac:dyDescent="0.25">
      <c r="C16" s="9" t="s">
        <v>41</v>
      </c>
      <c r="D16" s="12">
        <f>D10</f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45"/>
  <sheetViews>
    <sheetView zoomScaleNormal="100" workbookViewId="0"/>
  </sheetViews>
  <sheetFormatPr defaultColWidth="8.7109375" defaultRowHeight="15" x14ac:dyDescent="0.25"/>
  <cols>
    <col min="1" max="1" width="5" customWidth="1"/>
    <col min="2" max="2" width="12" customWidth="1"/>
    <col min="3" max="3" width="45" customWidth="1"/>
    <col min="4" max="5" width="15" customWidth="1"/>
    <col min="6" max="6" width="50" customWidth="1"/>
  </cols>
  <sheetData>
    <row r="2" spans="1:6" ht="18" x14ac:dyDescent="0.25">
      <c r="B2" s="5" t="s">
        <v>42</v>
      </c>
    </row>
    <row r="5" spans="1:6" x14ac:dyDescent="0.25">
      <c r="A5" s="14"/>
      <c r="B5" s="14" t="s">
        <v>43</v>
      </c>
      <c r="C5" s="14" t="s">
        <v>25</v>
      </c>
      <c r="D5" s="14" t="s">
        <v>44</v>
      </c>
    </row>
    <row r="6" spans="1:6" x14ac:dyDescent="0.25">
      <c r="B6" s="10" t="s">
        <v>27</v>
      </c>
      <c r="C6" s="10">
        <v>3</v>
      </c>
      <c r="D6" s="10">
        <f>COUNTIF(E13:E40,"Simples")</f>
        <v>19</v>
      </c>
    </row>
    <row r="7" spans="1:6" x14ac:dyDescent="0.25">
      <c r="B7" s="10" t="s">
        <v>28</v>
      </c>
      <c r="C7" s="10">
        <v>4</v>
      </c>
      <c r="D7" s="10">
        <f>COUNTIF(E13:E40,"Médio")</f>
        <v>7</v>
      </c>
    </row>
    <row r="8" spans="1:6" x14ac:dyDescent="0.25">
      <c r="B8" s="10" t="s">
        <v>29</v>
      </c>
      <c r="C8" s="10">
        <v>5</v>
      </c>
      <c r="D8" s="10">
        <f>COUNTIF(E13:E40,"Complexo")</f>
        <v>2</v>
      </c>
    </row>
    <row r="10" spans="1:6" x14ac:dyDescent="0.25">
      <c r="C10" s="9" t="s">
        <v>45</v>
      </c>
      <c r="D10" s="12">
        <f>(C6*D6)+(C7*D7)+(C8*D8)</f>
        <v>95</v>
      </c>
    </row>
    <row r="12" spans="1:6" x14ac:dyDescent="0.25">
      <c r="A12" s="14"/>
      <c r="B12" s="14" t="s">
        <v>46</v>
      </c>
      <c r="C12" s="14" t="s">
        <v>47</v>
      </c>
      <c r="D12" s="14" t="s">
        <v>48</v>
      </c>
      <c r="E12" s="14" t="s">
        <v>34</v>
      </c>
      <c r="F12" s="14" t="s">
        <v>49</v>
      </c>
    </row>
    <row r="13" spans="1:6" x14ac:dyDescent="0.25">
      <c r="B13" s="9" t="s">
        <v>50</v>
      </c>
      <c r="C13" s="10" t="s">
        <v>51</v>
      </c>
      <c r="D13" s="15">
        <v>1</v>
      </c>
      <c r="E13" s="15" t="s">
        <v>27</v>
      </c>
      <c r="F13" s="10" t="s">
        <v>52</v>
      </c>
    </row>
    <row r="14" spans="1:6" x14ac:dyDescent="0.25">
      <c r="B14" s="9" t="s">
        <v>53</v>
      </c>
      <c r="C14" s="10" t="s">
        <v>54</v>
      </c>
      <c r="D14" s="15">
        <v>2</v>
      </c>
      <c r="E14" s="15" t="s">
        <v>27</v>
      </c>
      <c r="F14" s="10" t="s">
        <v>55</v>
      </c>
    </row>
    <row r="15" spans="1:6" x14ac:dyDescent="0.25">
      <c r="B15" s="9" t="s">
        <v>56</v>
      </c>
      <c r="C15" s="10" t="s">
        <v>57</v>
      </c>
      <c r="D15" s="15">
        <v>3</v>
      </c>
      <c r="E15" s="15" t="s">
        <v>28</v>
      </c>
      <c r="F15" s="10" t="s">
        <v>58</v>
      </c>
    </row>
    <row r="16" spans="1:6" x14ac:dyDescent="0.25">
      <c r="B16" s="9" t="s">
        <v>59</v>
      </c>
      <c r="C16" s="10" t="s">
        <v>60</v>
      </c>
      <c r="D16" s="15">
        <v>1</v>
      </c>
      <c r="E16" s="15" t="s">
        <v>27</v>
      </c>
      <c r="F16" s="10" t="s">
        <v>61</v>
      </c>
    </row>
    <row r="17" spans="2:6" x14ac:dyDescent="0.25">
      <c r="B17" s="9" t="s">
        <v>62</v>
      </c>
      <c r="C17" s="10" t="s">
        <v>63</v>
      </c>
      <c r="D17" s="15">
        <v>5</v>
      </c>
      <c r="E17" s="15" t="s">
        <v>29</v>
      </c>
      <c r="F17" s="10" t="s">
        <v>64</v>
      </c>
    </row>
    <row r="18" spans="2:6" x14ac:dyDescent="0.25">
      <c r="B18" s="9" t="s">
        <v>65</v>
      </c>
      <c r="C18" s="10" t="s">
        <v>66</v>
      </c>
      <c r="D18" s="15">
        <v>2</v>
      </c>
      <c r="E18" s="15" t="s">
        <v>27</v>
      </c>
      <c r="F18" s="10" t="s">
        <v>67</v>
      </c>
    </row>
    <row r="19" spans="2:6" x14ac:dyDescent="0.25">
      <c r="B19" s="9" t="s">
        <v>68</v>
      </c>
      <c r="C19" s="10" t="s">
        <v>69</v>
      </c>
      <c r="D19" s="15">
        <v>4</v>
      </c>
      <c r="E19" s="15" t="s">
        <v>28</v>
      </c>
      <c r="F19" s="10" t="s">
        <v>70</v>
      </c>
    </row>
    <row r="20" spans="2:6" x14ac:dyDescent="0.25">
      <c r="B20" s="9" t="s">
        <v>71</v>
      </c>
      <c r="C20" s="10" t="s">
        <v>72</v>
      </c>
      <c r="D20" s="15">
        <v>4</v>
      </c>
      <c r="E20" s="15" t="s">
        <v>28</v>
      </c>
      <c r="F20" s="10" t="s">
        <v>73</v>
      </c>
    </row>
    <row r="21" spans="2:6" x14ac:dyDescent="0.25">
      <c r="B21" s="9" t="s">
        <v>74</v>
      </c>
      <c r="C21" s="10" t="s">
        <v>75</v>
      </c>
      <c r="D21" s="15">
        <v>1</v>
      </c>
      <c r="E21" s="15" t="s">
        <v>27</v>
      </c>
      <c r="F21" s="10" t="s">
        <v>52</v>
      </c>
    </row>
    <row r="22" spans="2:6" x14ac:dyDescent="0.25">
      <c r="B22" s="9" t="s">
        <v>76</v>
      </c>
      <c r="C22" s="10" t="s">
        <v>77</v>
      </c>
      <c r="D22" s="15">
        <v>1</v>
      </c>
      <c r="E22" s="15" t="s">
        <v>27</v>
      </c>
      <c r="F22" s="10" t="s">
        <v>52</v>
      </c>
    </row>
    <row r="23" spans="2:6" x14ac:dyDescent="0.25">
      <c r="B23" s="9" t="s">
        <v>78</v>
      </c>
      <c r="C23" s="10" t="s">
        <v>79</v>
      </c>
      <c r="D23" s="15">
        <v>1</v>
      </c>
      <c r="E23" s="15" t="s">
        <v>27</v>
      </c>
      <c r="F23" s="10" t="s">
        <v>52</v>
      </c>
    </row>
    <row r="24" spans="2:6" x14ac:dyDescent="0.25">
      <c r="B24" s="9" t="s">
        <v>80</v>
      </c>
      <c r="C24" s="10" t="s">
        <v>81</v>
      </c>
      <c r="D24" s="15">
        <v>2</v>
      </c>
      <c r="E24" s="15" t="s">
        <v>27</v>
      </c>
      <c r="F24" s="10" t="s">
        <v>82</v>
      </c>
    </row>
    <row r="25" spans="2:6" x14ac:dyDescent="0.25">
      <c r="B25" s="9" t="s">
        <v>83</v>
      </c>
      <c r="C25" s="10" t="s">
        <v>84</v>
      </c>
      <c r="D25" s="15">
        <v>1</v>
      </c>
      <c r="E25" s="15" t="s">
        <v>27</v>
      </c>
      <c r="F25" s="10" t="s">
        <v>85</v>
      </c>
    </row>
    <row r="26" spans="2:6" x14ac:dyDescent="0.25">
      <c r="B26" s="9" t="s">
        <v>86</v>
      </c>
      <c r="C26" s="10" t="s">
        <v>87</v>
      </c>
      <c r="D26" s="15">
        <v>1</v>
      </c>
      <c r="E26" s="15" t="s">
        <v>27</v>
      </c>
      <c r="F26" s="10" t="s">
        <v>85</v>
      </c>
    </row>
    <row r="27" spans="2:6" x14ac:dyDescent="0.25">
      <c r="B27" s="9" t="s">
        <v>88</v>
      </c>
      <c r="C27" s="10" t="s">
        <v>89</v>
      </c>
      <c r="D27" s="15">
        <v>1</v>
      </c>
      <c r="E27" s="15" t="s">
        <v>27</v>
      </c>
      <c r="F27" s="10" t="s">
        <v>85</v>
      </c>
    </row>
    <row r="28" spans="2:6" x14ac:dyDescent="0.25">
      <c r="B28" s="9" t="s">
        <v>90</v>
      </c>
      <c r="C28" s="10" t="s">
        <v>91</v>
      </c>
      <c r="D28" s="15">
        <v>2</v>
      </c>
      <c r="E28" s="15" t="s">
        <v>27</v>
      </c>
      <c r="F28" s="10" t="s">
        <v>92</v>
      </c>
    </row>
    <row r="29" spans="2:6" x14ac:dyDescent="0.25">
      <c r="B29" s="9" t="s">
        <v>93</v>
      </c>
      <c r="C29" s="10" t="s">
        <v>94</v>
      </c>
      <c r="D29" s="15">
        <v>2</v>
      </c>
      <c r="E29" s="15" t="s">
        <v>28</v>
      </c>
      <c r="F29" s="10" t="s">
        <v>95</v>
      </c>
    </row>
    <row r="30" spans="2:6" x14ac:dyDescent="0.25">
      <c r="B30" s="9" t="s">
        <v>96</v>
      </c>
      <c r="C30" s="10" t="s">
        <v>97</v>
      </c>
      <c r="D30" s="15">
        <v>1</v>
      </c>
      <c r="E30" s="15" t="s">
        <v>27</v>
      </c>
      <c r="F30" s="10" t="s">
        <v>98</v>
      </c>
    </row>
    <row r="31" spans="2:6" x14ac:dyDescent="0.25">
      <c r="B31" s="9" t="s">
        <v>99</v>
      </c>
      <c r="C31" s="10" t="s">
        <v>100</v>
      </c>
      <c r="D31" s="15">
        <v>2</v>
      </c>
      <c r="E31" s="15" t="s">
        <v>28</v>
      </c>
      <c r="F31" s="10" t="s">
        <v>95</v>
      </c>
    </row>
    <row r="32" spans="2:6" x14ac:dyDescent="0.25">
      <c r="B32" s="9" t="s">
        <v>101</v>
      </c>
      <c r="C32" s="10" t="s">
        <v>102</v>
      </c>
      <c r="D32" s="15">
        <v>2</v>
      </c>
      <c r="E32" s="15" t="s">
        <v>27</v>
      </c>
      <c r="F32" s="10" t="s">
        <v>103</v>
      </c>
    </row>
    <row r="33" spans="2:6" x14ac:dyDescent="0.25">
      <c r="B33" s="9" t="s">
        <v>104</v>
      </c>
      <c r="C33" s="10" t="s">
        <v>105</v>
      </c>
      <c r="D33" s="15">
        <v>1</v>
      </c>
      <c r="E33" s="15" t="s">
        <v>27</v>
      </c>
      <c r="F33" s="10" t="s">
        <v>61</v>
      </c>
    </row>
    <row r="34" spans="2:6" x14ac:dyDescent="0.25">
      <c r="B34" s="9" t="s">
        <v>106</v>
      </c>
      <c r="C34" s="10" t="s">
        <v>107</v>
      </c>
      <c r="D34" s="15">
        <v>1</v>
      </c>
      <c r="E34" s="15" t="s">
        <v>27</v>
      </c>
      <c r="F34" s="10" t="s">
        <v>61</v>
      </c>
    </row>
    <row r="35" spans="2:6" x14ac:dyDescent="0.25">
      <c r="B35" s="9" t="s">
        <v>108</v>
      </c>
      <c r="C35" s="10" t="s">
        <v>109</v>
      </c>
      <c r="D35" s="15">
        <v>1</v>
      </c>
      <c r="E35" s="15" t="s">
        <v>27</v>
      </c>
      <c r="F35" s="10" t="s">
        <v>61</v>
      </c>
    </row>
    <row r="36" spans="2:6" x14ac:dyDescent="0.25">
      <c r="B36" s="9" t="s">
        <v>110</v>
      </c>
      <c r="C36" s="10" t="s">
        <v>111</v>
      </c>
      <c r="D36" s="15">
        <v>2</v>
      </c>
      <c r="E36" s="15" t="s">
        <v>27</v>
      </c>
      <c r="F36" s="10" t="s">
        <v>112</v>
      </c>
    </row>
    <row r="37" spans="2:6" x14ac:dyDescent="0.25">
      <c r="B37" s="9" t="s">
        <v>113</v>
      </c>
      <c r="C37" s="10" t="s">
        <v>114</v>
      </c>
      <c r="D37" s="15">
        <v>4</v>
      </c>
      <c r="E37" s="15" t="s">
        <v>29</v>
      </c>
      <c r="F37" s="10" t="s">
        <v>115</v>
      </c>
    </row>
    <row r="38" spans="2:6" x14ac:dyDescent="0.25">
      <c r="B38" s="9" t="s">
        <v>116</v>
      </c>
      <c r="C38" s="10" t="s">
        <v>117</v>
      </c>
      <c r="D38" s="15">
        <v>3</v>
      </c>
      <c r="E38" s="15" t="s">
        <v>28</v>
      </c>
      <c r="F38" s="10" t="s">
        <v>118</v>
      </c>
    </row>
    <row r="39" spans="2:6" x14ac:dyDescent="0.25">
      <c r="B39" s="9" t="s">
        <v>119</v>
      </c>
      <c r="C39" s="10" t="s">
        <v>120</v>
      </c>
      <c r="D39" s="15">
        <v>5</v>
      </c>
      <c r="E39" s="15" t="s">
        <v>28</v>
      </c>
      <c r="F39" s="10" t="s">
        <v>121</v>
      </c>
    </row>
    <row r="40" spans="2:6" x14ac:dyDescent="0.25">
      <c r="B40" s="9" t="s">
        <v>122</v>
      </c>
      <c r="C40" s="10" t="s">
        <v>123</v>
      </c>
      <c r="D40" s="15">
        <v>1</v>
      </c>
      <c r="E40" s="15" t="s">
        <v>27</v>
      </c>
      <c r="F40" s="10" t="s">
        <v>124</v>
      </c>
    </row>
    <row r="41" spans="2:6" x14ac:dyDescent="0.25">
      <c r="B41" s="9" t="s">
        <v>125</v>
      </c>
      <c r="C41" s="10" t="s">
        <v>126</v>
      </c>
      <c r="D41" s="15">
        <v>2</v>
      </c>
      <c r="E41" s="15" t="s">
        <v>27</v>
      </c>
      <c r="F41" s="10" t="s">
        <v>67</v>
      </c>
    </row>
    <row r="42" spans="2:6" x14ac:dyDescent="0.25">
      <c r="B42" s="9" t="s">
        <v>127</v>
      </c>
      <c r="C42" s="10" t="s">
        <v>128</v>
      </c>
      <c r="D42" s="15">
        <v>1</v>
      </c>
      <c r="E42" s="15" t="s">
        <v>27</v>
      </c>
      <c r="F42" s="10" t="s">
        <v>129</v>
      </c>
    </row>
    <row r="43" spans="2:6" x14ac:dyDescent="0.25">
      <c r="B43" s="9" t="s">
        <v>130</v>
      </c>
      <c r="C43" s="10" t="s">
        <v>131</v>
      </c>
      <c r="D43" s="15">
        <v>2</v>
      </c>
      <c r="E43" s="15" t="s">
        <v>27</v>
      </c>
      <c r="F43" s="10" t="s">
        <v>67</v>
      </c>
    </row>
    <row r="44" spans="2:6" x14ac:dyDescent="0.25">
      <c r="B44" s="9" t="s">
        <v>132</v>
      </c>
      <c r="C44" s="10" t="s">
        <v>133</v>
      </c>
      <c r="D44" s="15">
        <v>1</v>
      </c>
      <c r="E44" s="15" t="s">
        <v>27</v>
      </c>
      <c r="F44" s="10" t="s">
        <v>129</v>
      </c>
    </row>
    <row r="45" spans="2:6" x14ac:dyDescent="0.25">
      <c r="B45" s="12" t="s">
        <v>41</v>
      </c>
      <c r="D45" s="12">
        <f>D10</f>
        <v>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32"/>
  <sheetViews>
    <sheetView topLeftCell="A16" zoomScaleNormal="100" workbookViewId="0">
      <selection activeCell="C6" sqref="C6"/>
    </sheetView>
  </sheetViews>
  <sheetFormatPr defaultColWidth="8.7109375" defaultRowHeight="15" x14ac:dyDescent="0.25"/>
  <cols>
    <col min="1" max="2" width="20" customWidth="1"/>
    <col min="3" max="3" width="50" customWidth="1"/>
    <col min="4" max="6" width="20" customWidth="1"/>
  </cols>
  <sheetData>
    <row r="2" spans="1:6" ht="18" x14ac:dyDescent="0.25">
      <c r="B2" s="5" t="s">
        <v>134</v>
      </c>
    </row>
    <row r="4" spans="1:6" x14ac:dyDescent="0.25">
      <c r="B4" s="4" t="s">
        <v>135</v>
      </c>
      <c r="C4" s="4"/>
      <c r="D4" s="4"/>
      <c r="E4" s="4"/>
      <c r="F4" s="4"/>
    </row>
    <row r="5" spans="1:6" x14ac:dyDescent="0.25">
      <c r="A5" s="14"/>
      <c r="B5" s="14" t="s">
        <v>46</v>
      </c>
      <c r="C5" s="14" t="s">
        <v>33</v>
      </c>
      <c r="D5" s="14" t="s">
        <v>25</v>
      </c>
      <c r="E5" s="14" t="s">
        <v>136</v>
      </c>
    </row>
    <row r="6" spans="1:6" x14ac:dyDescent="0.25">
      <c r="B6" s="10" t="s">
        <v>137</v>
      </c>
      <c r="C6" s="10" t="s">
        <v>138</v>
      </c>
      <c r="D6" s="15">
        <v>2</v>
      </c>
      <c r="E6" s="15">
        <v>0</v>
      </c>
    </row>
    <row r="7" spans="1:6" x14ac:dyDescent="0.25">
      <c r="B7" s="10" t="s">
        <v>139</v>
      </c>
      <c r="C7" s="10" t="s">
        <v>140</v>
      </c>
      <c r="D7" s="15">
        <v>1</v>
      </c>
      <c r="E7" s="15">
        <v>3</v>
      </c>
    </row>
    <row r="8" spans="1:6" x14ac:dyDescent="0.25">
      <c r="B8" s="10" t="s">
        <v>141</v>
      </c>
      <c r="C8" s="10" t="s">
        <v>142</v>
      </c>
      <c r="D8" s="15">
        <v>1</v>
      </c>
      <c r="E8" s="15">
        <v>2</v>
      </c>
    </row>
    <row r="9" spans="1:6" x14ac:dyDescent="0.25">
      <c r="B9" s="10" t="s">
        <v>143</v>
      </c>
      <c r="C9" s="10" t="s">
        <v>144</v>
      </c>
      <c r="D9" s="15">
        <v>1</v>
      </c>
      <c r="E9" s="15">
        <v>0</v>
      </c>
    </row>
    <row r="10" spans="1:6" x14ac:dyDescent="0.25">
      <c r="B10" s="10" t="s">
        <v>145</v>
      </c>
      <c r="C10" s="10" t="s">
        <v>146</v>
      </c>
      <c r="D10" s="15">
        <v>1</v>
      </c>
      <c r="E10" s="15">
        <v>0</v>
      </c>
    </row>
    <row r="11" spans="1:6" x14ac:dyDescent="0.25">
      <c r="B11" s="10" t="s">
        <v>147</v>
      </c>
      <c r="C11" s="10" t="s">
        <v>148</v>
      </c>
      <c r="D11" s="15">
        <v>0.5</v>
      </c>
      <c r="E11" s="15">
        <v>4</v>
      </c>
    </row>
    <row r="12" spans="1:6" x14ac:dyDescent="0.25">
      <c r="B12" s="10" t="s">
        <v>149</v>
      </c>
      <c r="C12" s="10" t="s">
        <v>150</v>
      </c>
      <c r="D12" s="15">
        <v>0.5</v>
      </c>
      <c r="E12" s="15">
        <v>5</v>
      </c>
    </row>
    <row r="13" spans="1:6" x14ac:dyDescent="0.25">
      <c r="B13" s="10" t="s">
        <v>151</v>
      </c>
      <c r="C13" s="10" t="s">
        <v>152</v>
      </c>
      <c r="D13" s="15">
        <v>2</v>
      </c>
      <c r="E13" s="15">
        <v>0</v>
      </c>
    </row>
    <row r="14" spans="1:6" x14ac:dyDescent="0.25">
      <c r="B14" s="10" t="s">
        <v>153</v>
      </c>
      <c r="C14" s="10" t="s">
        <v>154</v>
      </c>
      <c r="D14" s="15">
        <v>1</v>
      </c>
      <c r="E14" s="15">
        <v>3</v>
      </c>
    </row>
    <row r="15" spans="1:6" x14ac:dyDescent="0.25">
      <c r="B15" s="10" t="s">
        <v>155</v>
      </c>
      <c r="C15" s="10" t="s">
        <v>156</v>
      </c>
      <c r="D15" s="15">
        <v>1</v>
      </c>
      <c r="E15" s="15">
        <v>0</v>
      </c>
    </row>
    <row r="16" spans="1:6" x14ac:dyDescent="0.25">
      <c r="B16" s="10" t="s">
        <v>157</v>
      </c>
      <c r="C16" s="10" t="s">
        <v>158</v>
      </c>
      <c r="D16" s="15">
        <v>1</v>
      </c>
      <c r="E16" s="15">
        <v>3</v>
      </c>
    </row>
    <row r="17" spans="1:6" x14ac:dyDescent="0.25">
      <c r="B17" s="10" t="s">
        <v>159</v>
      </c>
      <c r="C17" s="10" t="s">
        <v>160</v>
      </c>
      <c r="D17" s="15">
        <v>1</v>
      </c>
      <c r="E17" s="15">
        <v>0</v>
      </c>
    </row>
    <row r="18" spans="1:6" x14ac:dyDescent="0.25">
      <c r="B18" s="10" t="s">
        <v>161</v>
      </c>
      <c r="C18" s="10" t="s">
        <v>162</v>
      </c>
      <c r="D18" s="15">
        <v>1</v>
      </c>
      <c r="E18" s="15">
        <v>0</v>
      </c>
    </row>
    <row r="19" spans="1:6" x14ac:dyDescent="0.25">
      <c r="B19" s="1" t="s">
        <v>163</v>
      </c>
      <c r="C19" s="1"/>
      <c r="D19" s="1"/>
      <c r="E19" s="12">
        <f>0.6+(0.01*(D6*E6+D7*E7+D8*E8+D9*E9+D10*E10+D11*E11+D12*E12+D13*E13+D14*E14+D15*E15+D16*E16+D17*E17+D18*E18))</f>
        <v>0.755</v>
      </c>
    </row>
    <row r="22" spans="1:6" x14ac:dyDescent="0.25">
      <c r="B22" s="4" t="s">
        <v>164</v>
      </c>
      <c r="C22" s="4"/>
      <c r="D22" s="4"/>
      <c r="E22" s="4"/>
      <c r="F22" s="4"/>
    </row>
    <row r="23" spans="1:6" x14ac:dyDescent="0.25">
      <c r="A23" s="14"/>
      <c r="B23" s="14" t="s">
        <v>46</v>
      </c>
      <c r="C23" s="14" t="s">
        <v>33</v>
      </c>
      <c r="D23" s="14" t="s">
        <v>25</v>
      </c>
      <c r="E23" s="14" t="s">
        <v>136</v>
      </c>
    </row>
    <row r="24" spans="1:6" x14ac:dyDescent="0.25">
      <c r="B24" s="10" t="s">
        <v>165</v>
      </c>
      <c r="C24" s="10" t="s">
        <v>166</v>
      </c>
      <c r="D24" s="15">
        <v>1.5</v>
      </c>
      <c r="E24" s="15">
        <v>1</v>
      </c>
    </row>
    <row r="25" spans="1:6" x14ac:dyDescent="0.25">
      <c r="B25" s="10" t="s">
        <v>167</v>
      </c>
      <c r="C25" s="10" t="s">
        <v>168</v>
      </c>
      <c r="D25" s="15">
        <v>0.5</v>
      </c>
      <c r="E25" s="15">
        <v>1</v>
      </c>
    </row>
    <row r="26" spans="1:6" x14ac:dyDescent="0.25">
      <c r="B26" s="10" t="s">
        <v>169</v>
      </c>
      <c r="C26" s="10" t="s">
        <v>170</v>
      </c>
      <c r="D26" s="15">
        <v>1</v>
      </c>
      <c r="E26" s="15">
        <v>2</v>
      </c>
    </row>
    <row r="27" spans="1:6" x14ac:dyDescent="0.25">
      <c r="B27" s="10" t="s">
        <v>171</v>
      </c>
      <c r="C27" s="10" t="s">
        <v>172</v>
      </c>
      <c r="D27" s="15">
        <v>0.5</v>
      </c>
      <c r="E27" s="15">
        <v>2</v>
      </c>
    </row>
    <row r="28" spans="1:6" x14ac:dyDescent="0.25">
      <c r="B28" s="10" t="s">
        <v>173</v>
      </c>
      <c r="C28" s="10" t="s">
        <v>174</v>
      </c>
      <c r="D28" s="15">
        <v>1</v>
      </c>
      <c r="E28" s="15">
        <v>3</v>
      </c>
    </row>
    <row r="29" spans="1:6" x14ac:dyDescent="0.25">
      <c r="B29" s="10" t="s">
        <v>175</v>
      </c>
      <c r="C29" s="10" t="s">
        <v>176</v>
      </c>
      <c r="D29" s="15">
        <v>2</v>
      </c>
      <c r="E29" s="15">
        <v>4</v>
      </c>
    </row>
    <row r="30" spans="1:6" x14ac:dyDescent="0.25">
      <c r="B30" s="10" t="s">
        <v>177</v>
      </c>
      <c r="C30" s="10" t="s">
        <v>178</v>
      </c>
      <c r="D30" s="15">
        <v>-1</v>
      </c>
      <c r="E30" s="15">
        <v>4</v>
      </c>
    </row>
    <row r="31" spans="1:6" x14ac:dyDescent="0.25">
      <c r="B31" s="10" t="s">
        <v>179</v>
      </c>
      <c r="C31" s="10" t="s">
        <v>180</v>
      </c>
      <c r="D31" s="15">
        <v>-1</v>
      </c>
      <c r="E31" s="15">
        <v>3</v>
      </c>
    </row>
    <row r="32" spans="1:6" x14ac:dyDescent="0.25">
      <c r="B32" s="1" t="s">
        <v>181</v>
      </c>
      <c r="C32" s="1"/>
      <c r="D32" s="1"/>
      <c r="E32" s="12">
        <f>1.4+(-0.03*(D24*E24+D25*E25+D26*E26+D27*E27+D28*E28+D29*E29+D30*E30+D31*E31))</f>
        <v>1.1299999999999999</v>
      </c>
    </row>
  </sheetData>
  <mergeCells count="4">
    <mergeCell ref="B4:F4"/>
    <mergeCell ref="B19:D19"/>
    <mergeCell ref="B22:F22"/>
    <mergeCell ref="B32:D3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Geral</vt:lpstr>
      <vt:lpstr>Atores</vt:lpstr>
      <vt:lpstr>RFS ou RFC</vt:lpstr>
      <vt:lpstr>Fatores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cauac</cp:lastModifiedBy>
  <cp:revision>0</cp:revision>
  <dcterms:created xsi:type="dcterms:W3CDTF">2026-05-31T03:15:08Z</dcterms:created>
  <dcterms:modified xsi:type="dcterms:W3CDTF">2026-06-01T12:22:50Z</dcterms:modified>
  <dc:language>en-US</dc:language>
</cp:coreProperties>
</file>