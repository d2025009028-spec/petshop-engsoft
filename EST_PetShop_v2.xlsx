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al" sheetId="1" state="visible" r:id="rId3"/>
    <sheet name="Atores" sheetId="2" state="visible" r:id="rId4"/>
    <sheet name="RFS ou RFC" sheetId="3" state="visible" r:id="rId5"/>
    <sheet name="Fat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<sst xmlns="http://schemas.openxmlformats.org/spreadsheetml/2006/main" count="243" uniqueCount="183">
  <si>
    <t xml:space="preserve">Estimativa de Tamanho do Projeto</t>
  </si>
  <si>
    <t xml:space="preserve">Projeto:</t>
  </si>
  <si>
    <t xml:space="preserve">Sistema de Gerenciamento de Pet Shop</t>
  </si>
  <si>
    <t xml:space="preserve">Responsável:</t>
  </si>
  <si>
    <t xml:space="preserve">&lt;Nome do Aluno&gt;</t>
  </si>
  <si>
    <t xml:space="preserve">Data:</t>
  </si>
  <si>
    <t xml:space="preserve">31/05/2026</t>
  </si>
  <si>
    <t xml:space="preserve">Vs. do Documento:</t>
  </si>
  <si>
    <t xml:space="preserve">1.0</t>
  </si>
  <si>
    <t xml:space="preserve">Resultado da Estimativa</t>
  </si>
  <si>
    <t xml:space="preserve">Esforço por fases</t>
  </si>
  <si>
    <t xml:space="preserve">Horas</t>
  </si>
  <si>
    <t xml:space="preserve">%</t>
  </si>
  <si>
    <t xml:space="preserve">Total de Pontos de Caso de Uso (RFS)</t>
  </si>
  <si>
    <t xml:space="preserve">Fase de Prospecção</t>
  </si>
  <si>
    <t xml:space="preserve">Homens/hora por RFS</t>
  </si>
  <si>
    <t xml:space="preserve">Fase de Análise</t>
  </si>
  <si>
    <t xml:space="preserve">Fase de Projeto</t>
  </si>
  <si>
    <t xml:space="preserve">Fase de Planejamento</t>
  </si>
  <si>
    <t xml:space="preserve">Fase de Desenvolvimento</t>
  </si>
  <si>
    <t xml:space="preserve">Processo de Monitoramento</t>
  </si>
  <si>
    <t xml:space="preserve">Fase de Fechamento</t>
  </si>
  <si>
    <t xml:space="preserve">Controle de mudanças</t>
  </si>
  <si>
    <t xml:space="preserve">Total de horas do Projeto</t>
  </si>
  <si>
    <t xml:space="preserve">Atores do Projeto</t>
  </si>
  <si>
    <t xml:space="preserve">Complexidade do Ator</t>
  </si>
  <si>
    <t xml:space="preserve">Peso</t>
  </si>
  <si>
    <t xml:space="preserve">Qt. de Atores</t>
  </si>
  <si>
    <t xml:space="preserve">Simples</t>
  </si>
  <si>
    <t xml:space="preserve">Médio</t>
  </si>
  <si>
    <t xml:space="preserve">Complexo</t>
  </si>
  <si>
    <t xml:space="preserve">Peso Total Atores =</t>
  </si>
  <si>
    <t xml:space="preserve">Nro</t>
  </si>
  <si>
    <t xml:space="preserve">Ator</t>
  </si>
  <si>
    <t xml:space="preserve">Descrição</t>
  </si>
  <si>
    <t xml:space="preserve">Complexidade</t>
  </si>
  <si>
    <t xml:space="preserve">Administrador(a)</t>
  </si>
  <si>
    <t xml:space="preserve">Acesso total ao sistema, gerencia cadastros e relatórios</t>
  </si>
  <si>
    <t xml:space="preserve">Atendente</t>
  </si>
  <si>
    <t xml:space="preserve">Atendimento ao público, cadastro de clientes e agendamentos</t>
  </si>
  <si>
    <t xml:space="preserve">Sistema</t>
  </si>
  <si>
    <t xml:space="preserve">Processos automáticos (validações, cálculos)</t>
  </si>
  <si>
    <t xml:space="preserve">Total</t>
  </si>
  <si>
    <t xml:space="preserve">Casos de Uso do Projeto</t>
  </si>
  <si>
    <t xml:space="preserve">Complexidade do RF</t>
  </si>
  <si>
    <t xml:space="preserve">Qt. de UC</t>
  </si>
  <si>
    <t xml:space="preserve">Peso Total UC =</t>
  </si>
  <si>
    <t xml:space="preserve">ID</t>
  </si>
  <si>
    <t xml:space="preserve">Nome do RFC ou RFS</t>
  </si>
  <si>
    <t xml:space="preserve">Nro Entidades</t>
  </si>
  <si>
    <t xml:space="preserve">Discriminar Transações</t>
  </si>
  <si>
    <t xml:space="preserve">[RFC01]</t>
  </si>
  <si>
    <t xml:space="preserve">Manter Clientes</t>
  </si>
  <si>
    <t xml:space="preserve">Cliente</t>
  </si>
  <si>
    <t xml:space="preserve">[RFC02]</t>
  </si>
  <si>
    <t xml:space="preserve">Manter Funcionários</t>
  </si>
  <si>
    <t xml:space="preserve">Funcionário, Cargo</t>
  </si>
  <si>
    <t xml:space="preserve">[RFC03]</t>
  </si>
  <si>
    <t xml:space="preserve">Manter Pets</t>
  </si>
  <si>
    <t xml:space="preserve">Pet, Cliente, Espécie</t>
  </si>
  <si>
    <t xml:space="preserve">[RFC04]</t>
  </si>
  <si>
    <t xml:space="preserve">Manter Serviços</t>
  </si>
  <si>
    <t xml:space="preserve">Serviço</t>
  </si>
  <si>
    <t xml:space="preserve">[RFC05]</t>
  </si>
  <si>
    <t xml:space="preserve">Manter Agendamentos</t>
  </si>
  <si>
    <t xml:space="preserve">Agendamento, Pet, Serviço, Funcionário, Status</t>
  </si>
  <si>
    <t xml:space="preserve">[RFC06]</t>
  </si>
  <si>
    <t xml:space="preserve">Manter Produtos</t>
  </si>
  <si>
    <t xml:space="preserve">Produto, Categoria</t>
  </si>
  <si>
    <t xml:space="preserve">[RFC07]</t>
  </si>
  <si>
    <t xml:space="preserve">Emitir Relatório de Serviços por Período</t>
  </si>
  <si>
    <t xml:space="preserve">Agendamento, Serviço, Pet, Funcionário</t>
  </si>
  <si>
    <t xml:space="preserve">[RFC08]</t>
  </si>
  <si>
    <t xml:space="preserve">Emitir Relatório de Faturamento Mensal</t>
  </si>
  <si>
    <t xml:space="preserve">Agendamento, Serviço, Valor, Tipo</t>
  </si>
  <si>
    <t xml:space="preserve">[RFS01]</t>
  </si>
  <si>
    <t xml:space="preserve">Inserir Cliente</t>
  </si>
  <si>
    <t xml:space="preserve">[RFS02]</t>
  </si>
  <si>
    <t xml:space="preserve">Alterar Cliente</t>
  </si>
  <si>
    <t xml:space="preserve">[RFS03]</t>
  </si>
  <si>
    <t xml:space="preserve">Listar Clientes</t>
  </si>
  <si>
    <t xml:space="preserve">[RFS04]</t>
  </si>
  <si>
    <t xml:space="preserve">Remover Cliente</t>
  </si>
  <si>
    <t xml:space="preserve">Cliente, Pet</t>
  </si>
  <si>
    <t xml:space="preserve">[RFS05]</t>
  </si>
  <si>
    <t xml:space="preserve">Inserir Funcionário</t>
  </si>
  <si>
    <t xml:space="preserve">Funcionário</t>
  </si>
  <si>
    <t xml:space="preserve">[RFS06]</t>
  </si>
  <si>
    <t xml:space="preserve">Alterar Funcionário</t>
  </si>
  <si>
    <t xml:space="preserve">[RFS07]</t>
  </si>
  <si>
    <t xml:space="preserve">Listar Funcionários</t>
  </si>
  <si>
    <t xml:space="preserve">[RFS08]</t>
  </si>
  <si>
    <t xml:space="preserve">Remover Funcionário</t>
  </si>
  <si>
    <t xml:space="preserve">Funcionário, Agendamento</t>
  </si>
  <si>
    <t xml:space="preserve">[RFS09]</t>
  </si>
  <si>
    <t xml:space="preserve">Inserir Pet</t>
  </si>
  <si>
    <t xml:space="preserve">Pet, Cliente</t>
  </si>
  <si>
    <t xml:space="preserve">[RFS10]</t>
  </si>
  <si>
    <t xml:space="preserve">Alterar Pet</t>
  </si>
  <si>
    <t xml:space="preserve">Pet</t>
  </si>
  <si>
    <t xml:space="preserve">[RFS11]</t>
  </si>
  <si>
    <t xml:space="preserve">Listar Pets</t>
  </si>
  <si>
    <t xml:space="preserve">[RFS12]</t>
  </si>
  <si>
    <t xml:space="preserve">Remover Pet</t>
  </si>
  <si>
    <t xml:space="preserve">Pet, Agendamento</t>
  </si>
  <si>
    <t xml:space="preserve">[RFS13]</t>
  </si>
  <si>
    <t xml:space="preserve">Inserir Serviço</t>
  </si>
  <si>
    <t xml:space="preserve">[RFS14]</t>
  </si>
  <si>
    <t xml:space="preserve">Alterar Serviço</t>
  </si>
  <si>
    <t xml:space="preserve">[RFS15]</t>
  </si>
  <si>
    <t xml:space="preserve">Listar Serviços</t>
  </si>
  <si>
    <t xml:space="preserve">[RFS16]</t>
  </si>
  <si>
    <t xml:space="preserve">Remover Serviço</t>
  </si>
  <si>
    <t xml:space="preserve">Serviço, Agendamento</t>
  </si>
  <si>
    <t xml:space="preserve">[RFS17]</t>
  </si>
  <si>
    <t xml:space="preserve">Inserir Agendamento</t>
  </si>
  <si>
    <t xml:space="preserve">Agendamento, Pet, Serviço, Funcionário</t>
  </si>
  <si>
    <t xml:space="preserve">[RFS18]</t>
  </si>
  <si>
    <t xml:space="preserve">Alterar Agendamento</t>
  </si>
  <si>
    <t xml:space="preserve">Agendamento, Funcionário, Status</t>
  </si>
  <si>
    <t xml:space="preserve">[RFS19]</t>
  </si>
  <si>
    <t xml:space="preserve">Listar Agendamentos</t>
  </si>
  <si>
    <t xml:space="preserve">Agendamento, Pet, Cliente, Funcionário, Status</t>
  </si>
  <si>
    <t xml:space="preserve">[RFS20]</t>
  </si>
  <si>
    <t xml:space="preserve">Remover Agendamento</t>
  </si>
  <si>
    <t xml:space="preserve">Agendamento</t>
  </si>
  <si>
    <t xml:space="preserve">[RFS21]</t>
  </si>
  <si>
    <t xml:space="preserve">Inserir Produto</t>
  </si>
  <si>
    <t xml:space="preserve">[RFS22]</t>
  </si>
  <si>
    <t xml:space="preserve">Alterar Produto</t>
  </si>
  <si>
    <t xml:space="preserve">Produto</t>
  </si>
  <si>
    <t xml:space="preserve">[RFS23]</t>
  </si>
  <si>
    <t xml:space="preserve">Listar Produtos</t>
  </si>
  <si>
    <t xml:space="preserve">[RFS24]</t>
  </si>
  <si>
    <t xml:space="preserve">Remover Produto</t>
  </si>
  <si>
    <t xml:space="preserve">Fatores de Complexidade</t>
  </si>
  <si>
    <t xml:space="preserve">Influência Tecnológica</t>
  </si>
  <si>
    <t xml:space="preserve">Influência</t>
  </si>
  <si>
    <t xml:space="preserve">T01</t>
  </si>
  <si>
    <t xml:space="preserve">Sistemas Distribuídos</t>
  </si>
  <si>
    <t xml:space="preserve">T02</t>
  </si>
  <si>
    <t xml:space="preserve">Tempo de resposta</t>
  </si>
  <si>
    <t xml:space="preserve">T03</t>
  </si>
  <si>
    <t xml:space="preserve">Grau de escolaridade do usuário</t>
  </si>
  <si>
    <t xml:space="preserve">T04</t>
  </si>
  <si>
    <t xml:space="preserve">Processamento interno complexo</t>
  </si>
  <si>
    <t xml:space="preserve">T05</t>
  </si>
  <si>
    <t xml:space="preserve">Reusabilidade do código em outros projetos</t>
  </si>
  <si>
    <t xml:space="preserve">T06</t>
  </si>
  <si>
    <t xml:space="preserve">Facilidade de instalação</t>
  </si>
  <si>
    <t xml:space="preserve">T07</t>
  </si>
  <si>
    <t xml:space="preserve">Usabilidade (facilidade operacional)</t>
  </si>
  <si>
    <t xml:space="preserve">T08</t>
  </si>
  <si>
    <t xml:space="preserve">Portabilidade</t>
  </si>
  <si>
    <t xml:space="preserve">T09</t>
  </si>
  <si>
    <t xml:space="preserve">Facilidade de manutenção</t>
  </si>
  <si>
    <t xml:space="preserve">T10</t>
  </si>
  <si>
    <t xml:space="preserve">Concorrência</t>
  </si>
  <si>
    <t xml:space="preserve">T11</t>
  </si>
  <si>
    <t xml:space="preserve">Características especiais de segurança</t>
  </si>
  <si>
    <t xml:space="preserve">T12</t>
  </si>
  <si>
    <t xml:space="preserve">Acesso direto para terceiros</t>
  </si>
  <si>
    <t xml:space="preserve">T13</t>
  </si>
  <si>
    <t xml:space="preserve">Facilidades especiais de treinamento</t>
  </si>
  <si>
    <t xml:space="preserve">Fator de Complexidade Técnica</t>
  </si>
  <si>
    <t xml:space="preserve">Influência Ambiental</t>
  </si>
  <si>
    <t xml:space="preserve">F01</t>
  </si>
  <si>
    <t xml:space="preserve">Familiaridade com o Processo de Desenvolvimento</t>
  </si>
  <si>
    <t xml:space="preserve">F02</t>
  </si>
  <si>
    <t xml:space="preserve">Experiência na Aplicação</t>
  </si>
  <si>
    <t xml:space="preserve">F03</t>
  </si>
  <si>
    <t xml:space="preserve">Experiência em Programação Orientada a Objetos</t>
  </si>
  <si>
    <t xml:space="preserve">F04</t>
  </si>
  <si>
    <t xml:space="preserve">Capacidade do Líder de Projeto</t>
  </si>
  <si>
    <t xml:space="preserve">F05</t>
  </si>
  <si>
    <t xml:space="preserve">Motivação</t>
  </si>
  <si>
    <t xml:space="preserve">F06</t>
  </si>
  <si>
    <t xml:space="preserve">Requisitos estáveis</t>
  </si>
  <si>
    <t xml:space="preserve">F07</t>
  </si>
  <si>
    <t xml:space="preserve">Trabalhadores com dedicação parcial</t>
  </si>
  <si>
    <t xml:space="preserve">F08</t>
  </si>
  <si>
    <t xml:space="preserve">Dificuldade da Linguagem de Programação</t>
  </si>
  <si>
    <t xml:space="preserve">Fator de Complexidade Ambiental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</si>
</sst>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E8F0FE"/>
      </patternFill>
    </fill>
    <fill>
      <patternFill patternType="solid">
        <fgColor rgb="FFE8F0FE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D4" s="3" t="s">
        <v>2</v>
      </c>
    </row>
    <row r="5" customFormat="false" ht="15" hidden="false" customHeight="false" outlineLevel="0" collapsed="false">
      <c r="B5" s="2" t="s">
        <v>3</v>
      </c>
      <c r="D5" s="3" t="s">
        <v>4</v>
      </c>
    </row>
    <row r="6" customFormat="false" ht="15" hidden="false" customHeight="false" outlineLevel="0" collapsed="false">
      <c r="B6" s="2" t="s">
        <v>5</v>
      </c>
      <c r="D6" s="3" t="s">
        <v>6</v>
      </c>
      <c r="F6" s="2" t="s">
        <v>7</v>
      </c>
      <c r="H6" s="3" t="s">
        <v>8</v>
      </c>
    </row>
    <row r="9" customFormat="false" ht="15" hidden="false" customHeight="false" outlineLevel="0" collapsed="false">
      <c r="B9" s="4" t="s">
        <v>9</v>
      </c>
      <c r="C9" s="4"/>
      <c r="D9" s="4"/>
      <c r="F9" s="4" t="s">
        <v>10</v>
      </c>
      <c r="G9" s="4"/>
      <c r="H9" s="4"/>
      <c r="I9" s="4"/>
      <c r="J9" s="4" t="s">
        <v>11</v>
      </c>
      <c r="K9" s="4" t="s">
        <v>12</v>
      </c>
    </row>
    <row r="10" customFormat="false" ht="15" hidden="false" customHeight="false" outlineLevel="0" collapsed="false">
      <c r="B10" s="5" t="s">
        <v>13</v>
      </c>
      <c r="C10" s="5"/>
      <c r="D10" s="5"/>
      <c r="E10" s="6" t="n">
        <f aca="false">Atores!D10+'RFS ou RFC'!D10</f>
        <v>102</v>
      </c>
      <c r="F10" s="7" t="s">
        <v>14</v>
      </c>
      <c r="G10" s="7"/>
      <c r="H10" s="7"/>
      <c r="I10" s="7"/>
      <c r="J10" s="8" t="n">
        <f aca="false">$E$10*$E$11*K10</f>
        <v>24.48</v>
      </c>
      <c r="K10" s="9" t="n">
        <v>0.08</v>
      </c>
    </row>
    <row r="11" customFormat="false" ht="15" hidden="false" customHeight="false" outlineLevel="0" collapsed="false">
      <c r="B11" s="5" t="s">
        <v>15</v>
      </c>
      <c r="C11" s="5"/>
      <c r="D11" s="5"/>
      <c r="E11" s="6" t="n">
        <v>3</v>
      </c>
      <c r="F11" s="7" t="s">
        <v>16</v>
      </c>
      <c r="G11" s="7"/>
      <c r="H11" s="7"/>
      <c r="I11" s="7"/>
      <c r="J11" s="8" t="n">
        <f aca="false">$E$10*$E$11*K11</f>
        <v>73.44</v>
      </c>
      <c r="K11" s="9" t="n">
        <v>0.24</v>
      </c>
    </row>
    <row r="12" customFormat="false" ht="15" hidden="false" customHeight="false" outlineLevel="0" collapsed="false">
      <c r="F12" s="7" t="s">
        <v>17</v>
      </c>
      <c r="G12" s="7"/>
      <c r="H12" s="7"/>
      <c r="I12" s="7"/>
      <c r="J12" s="8" t="n">
        <f aca="false">$E$10*$E$11*K12</f>
        <v>18.36</v>
      </c>
      <c r="K12" s="9" t="n">
        <v>0.06</v>
      </c>
    </row>
    <row r="13" customFormat="false" ht="15" hidden="false" customHeight="false" outlineLevel="0" collapsed="false">
      <c r="F13" s="7" t="s">
        <v>18</v>
      </c>
      <c r="G13" s="7"/>
      <c r="H13" s="7"/>
      <c r="I13" s="7"/>
      <c r="J13" s="8" t="n">
        <f aca="false">$E$10*$E$11*K13</f>
        <v>18.36</v>
      </c>
      <c r="K13" s="9" t="n">
        <v>0.06</v>
      </c>
    </row>
    <row r="14" customFormat="false" ht="15" hidden="false" customHeight="false" outlineLevel="0" collapsed="false">
      <c r="F14" s="7" t="s">
        <v>19</v>
      </c>
      <c r="G14" s="7"/>
      <c r="H14" s="7"/>
      <c r="I14" s="7"/>
      <c r="J14" s="8" t="n">
        <f aca="false">$E$10*$E$11*K14</f>
        <v>122.4</v>
      </c>
      <c r="K14" s="9" t="n">
        <v>0.4</v>
      </c>
    </row>
    <row r="15" customFormat="false" ht="15" hidden="false" customHeight="false" outlineLevel="0" collapsed="false">
      <c r="F15" s="7" t="s">
        <v>20</v>
      </c>
      <c r="G15" s="7"/>
      <c r="H15" s="7"/>
      <c r="I15" s="7"/>
      <c r="J15" s="8" t="n">
        <f aca="false">$E$10*$E$11*K15</f>
        <v>18.36</v>
      </c>
      <c r="K15" s="9" t="n">
        <v>0.06</v>
      </c>
    </row>
    <row r="16" customFormat="false" ht="15" hidden="false" customHeight="false" outlineLevel="0" collapsed="false">
      <c r="F16" s="7" t="s">
        <v>21</v>
      </c>
      <c r="G16" s="7"/>
      <c r="H16" s="7"/>
      <c r="I16" s="7"/>
      <c r="J16" s="8" t="n">
        <f aca="false">$E$10*$E$11*K16</f>
        <v>15.3</v>
      </c>
      <c r="K16" s="9" t="n">
        <v>0.05</v>
      </c>
    </row>
    <row r="17" customFormat="false" ht="15" hidden="false" customHeight="false" outlineLevel="0" collapsed="false">
      <c r="F17" s="7" t="s">
        <v>22</v>
      </c>
      <c r="G17" s="7"/>
      <c r="H17" s="7"/>
      <c r="I17" s="7"/>
      <c r="J17" s="8" t="n">
        <f aca="false">$E$10*$E$11*K17</f>
        <v>15.3</v>
      </c>
      <c r="K17" s="9" t="n">
        <v>0.05</v>
      </c>
    </row>
    <row r="18" customFormat="false" ht="15" hidden="false" customHeight="false" outlineLevel="0" collapsed="false">
      <c r="F18" s="10" t="s">
        <v>23</v>
      </c>
      <c r="G18" s="10"/>
      <c r="H18" s="10"/>
      <c r="I18" s="10"/>
      <c r="J18" s="11" t="n">
        <f aca="false">SUM(J10:J17)</f>
        <v>306</v>
      </c>
      <c r="K18" s="12" t="n">
        <f aca="false">SUM(K10:K17)</f>
        <v>1</v>
      </c>
    </row>
  </sheetData>
  <mergeCells count="13">
    <mergeCell ref="B9:D9"/>
    <mergeCell ref="F9:I9"/>
    <mergeCell ref="B10:D10"/>
    <mergeCell ref="F10:I10"/>
    <mergeCell ref="B11:D11"/>
    <mergeCell ref="F11:I11"/>
    <mergeCell ref="F12:I12"/>
    <mergeCell ref="F13:I13"/>
    <mergeCell ref="F14:I14"/>
    <mergeCell ref="F15:I15"/>
    <mergeCell ref="F16:I16"/>
    <mergeCell ref="F17:I17"/>
    <mergeCell ref="F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2" customFormat="false" ht="17.35" hidden="false" customHeight="false" outlineLevel="0" collapsed="false">
      <c r="B2" s="1" t="s">
        <v>24</v>
      </c>
    </row>
    <row r="5" customFormat="false" ht="15" hidden="false" customHeight="false" outlineLevel="0" collapsed="false">
      <c r="A5" s="13"/>
      <c r="B5" s="13" t="s">
        <v>25</v>
      </c>
      <c r="C5" s="13" t="s">
        <v>26</v>
      </c>
      <c r="D5" s="13" t="s">
        <v>27</v>
      </c>
    </row>
    <row r="6" customFormat="false" ht="15" hidden="false" customHeight="false" outlineLevel="0" collapsed="false">
      <c r="B6" s="8" t="s">
        <v>28</v>
      </c>
      <c r="C6" s="8" t="n">
        <v>1</v>
      </c>
      <c r="D6" s="8" t="n">
        <f aca="false">COUNTIF(E13:E20,"Simples")</f>
        <v>1</v>
      </c>
    </row>
    <row r="7" customFormat="false" ht="15" hidden="false" customHeight="false" outlineLevel="0" collapsed="false">
      <c r="B7" s="8" t="s">
        <v>29</v>
      </c>
      <c r="C7" s="8" t="n">
        <v>2</v>
      </c>
      <c r="D7" s="8" t="n">
        <f aca="false">COUNTIF(E13:E20,"Médio")</f>
        <v>0</v>
      </c>
    </row>
    <row r="8" customFormat="false" ht="15" hidden="false" customHeight="false" outlineLevel="0" collapsed="false">
      <c r="B8" s="8" t="s">
        <v>30</v>
      </c>
      <c r="C8" s="8" t="n">
        <v>3</v>
      </c>
      <c r="D8" s="8" t="n">
        <f aca="false">COUNTIF(E13:E20,"Complexo")</f>
        <v>2</v>
      </c>
    </row>
    <row r="10" customFormat="false" ht="15" hidden="false" customHeight="false" outlineLevel="0" collapsed="false">
      <c r="C10" s="6" t="s">
        <v>31</v>
      </c>
      <c r="D10" s="11" t="n">
        <f aca="false">(C6*D6)+(C7*D7)+(C8*D8)</f>
        <v>7</v>
      </c>
    </row>
    <row r="12" customFormat="false" ht="15" hidden="false" customHeight="false" outlineLevel="0" collapsed="false">
      <c r="A12" s="13"/>
      <c r="B12" s="13" t="s">
        <v>32</v>
      </c>
      <c r="C12" s="13" t="s">
        <v>33</v>
      </c>
      <c r="D12" s="13" t="s">
        <v>34</v>
      </c>
      <c r="E12" s="13" t="s">
        <v>35</v>
      </c>
    </row>
    <row r="13" customFormat="false" ht="15" hidden="false" customHeight="false" outlineLevel="0" collapsed="false">
      <c r="B13" s="8" t="n">
        <v>1</v>
      </c>
      <c r="C13" s="8" t="s">
        <v>36</v>
      </c>
      <c r="D13" s="8" t="s">
        <v>37</v>
      </c>
      <c r="E13" s="8" t="s">
        <v>30</v>
      </c>
    </row>
    <row r="14" customFormat="false" ht="15" hidden="false" customHeight="false" outlineLevel="0" collapsed="false">
      <c r="B14" s="8" t="n">
        <v>2</v>
      </c>
      <c r="C14" s="8" t="s">
        <v>38</v>
      </c>
      <c r="D14" s="8" t="s">
        <v>39</v>
      </c>
      <c r="E14" s="8" t="s">
        <v>30</v>
      </c>
    </row>
    <row r="15" customFormat="false" ht="15" hidden="false" customHeight="false" outlineLevel="0" collapsed="false">
      <c r="B15" s="8" t="n">
        <v>3</v>
      </c>
      <c r="C15" s="8" t="s">
        <v>40</v>
      </c>
      <c r="D15" s="8" t="s">
        <v>41</v>
      </c>
      <c r="E15" s="8" t="s">
        <v>28</v>
      </c>
    </row>
    <row r="16" customFormat="false" ht="15" hidden="false" customHeight="false" outlineLevel="0" collapsed="false">
      <c r="C16" s="6" t="s">
        <v>42</v>
      </c>
      <c r="D16" s="11" t="n">
        <f aca="false">D10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5" min="4" style="0" width="15"/>
    <col collapsed="false" customWidth="true" hidden="false" outlineLevel="0" max="6" min="6" style="0" width="50"/>
  </cols>
  <sheetData>
    <row r="2" customFormat="false" ht="17.35" hidden="false" customHeight="false" outlineLevel="0" collapsed="false">
      <c r="B2" s="1" t="s">
        <v>43</v>
      </c>
    </row>
    <row r="5" customFormat="false" ht="15" hidden="false" customHeight="false" outlineLevel="0" collapsed="false">
      <c r="A5" s="13"/>
      <c r="B5" s="13" t="s">
        <v>44</v>
      </c>
      <c r="C5" s="13" t="s">
        <v>26</v>
      </c>
      <c r="D5" s="13" t="s">
        <v>45</v>
      </c>
    </row>
    <row r="6" customFormat="false" ht="15" hidden="false" customHeight="false" outlineLevel="0" collapsed="false">
      <c r="B6" s="8" t="s">
        <v>28</v>
      </c>
      <c r="C6" s="8" t="n">
        <v>3</v>
      </c>
      <c r="D6" s="8" t="n">
        <f aca="false">COUNTIF(E13:E40,"Simples")</f>
        <v>19</v>
      </c>
    </row>
    <row r="7" customFormat="false" ht="15" hidden="false" customHeight="false" outlineLevel="0" collapsed="false">
      <c r="B7" s="8" t="s">
        <v>29</v>
      </c>
      <c r="C7" s="8" t="n">
        <v>4</v>
      </c>
      <c r="D7" s="8" t="n">
        <f aca="false">COUNTIF(E13:E40,"Médio")</f>
        <v>7</v>
      </c>
    </row>
    <row r="8" customFormat="false" ht="15" hidden="false" customHeight="false" outlineLevel="0" collapsed="false">
      <c r="B8" s="8" t="s">
        <v>30</v>
      </c>
      <c r="C8" s="8" t="n">
        <v>5</v>
      </c>
      <c r="D8" s="8" t="n">
        <f aca="false">COUNTIF(E13:E40,"Complexo")</f>
        <v>2</v>
      </c>
    </row>
    <row r="10" customFormat="false" ht="15" hidden="false" customHeight="false" outlineLevel="0" collapsed="false">
      <c r="C10" s="6" t="s">
        <v>46</v>
      </c>
      <c r="D10" s="11" t="n">
        <f aca="false">(C6*D6)+(C7*D7)+(C8*D8)</f>
        <v>95</v>
      </c>
    </row>
    <row r="12" customFormat="false" ht="15" hidden="false" customHeight="false" outlineLevel="0" collapsed="false">
      <c r="A12" s="13"/>
      <c r="B12" s="13" t="s">
        <v>47</v>
      </c>
      <c r="C12" s="13" t="s">
        <v>48</v>
      </c>
      <c r="D12" s="13" t="s">
        <v>49</v>
      </c>
      <c r="E12" s="13" t="s">
        <v>35</v>
      </c>
      <c r="F12" s="13" t="s">
        <v>50</v>
      </c>
    </row>
    <row r="13" customFormat="false" ht="15" hidden="false" customHeight="false" outlineLevel="0" collapsed="false">
      <c r="B13" s="6" t="s">
        <v>51</v>
      </c>
      <c r="C13" s="8" t="s">
        <v>52</v>
      </c>
      <c r="D13" s="14" t="n">
        <v>1</v>
      </c>
      <c r="E13" s="14" t="s">
        <v>28</v>
      </c>
      <c r="F13" s="8" t="s">
        <v>53</v>
      </c>
    </row>
    <row r="14" customFormat="false" ht="15" hidden="false" customHeight="false" outlineLevel="0" collapsed="false">
      <c r="B14" s="6" t="s">
        <v>54</v>
      </c>
      <c r="C14" s="8" t="s">
        <v>55</v>
      </c>
      <c r="D14" s="14" t="n">
        <v>2</v>
      </c>
      <c r="E14" s="14" t="s">
        <v>28</v>
      </c>
      <c r="F14" s="8" t="s">
        <v>56</v>
      </c>
    </row>
    <row r="15" customFormat="false" ht="15" hidden="false" customHeight="false" outlineLevel="0" collapsed="false">
      <c r="B15" s="6" t="s">
        <v>57</v>
      </c>
      <c r="C15" s="8" t="s">
        <v>58</v>
      </c>
      <c r="D15" s="14" t="n">
        <v>3</v>
      </c>
      <c r="E15" s="14" t="s">
        <v>29</v>
      </c>
      <c r="F15" s="8" t="s">
        <v>59</v>
      </c>
    </row>
    <row r="16" customFormat="false" ht="15" hidden="false" customHeight="false" outlineLevel="0" collapsed="false">
      <c r="B16" s="6" t="s">
        <v>60</v>
      </c>
      <c r="C16" s="8" t="s">
        <v>61</v>
      </c>
      <c r="D16" s="14" t="n">
        <v>1</v>
      </c>
      <c r="E16" s="14" t="s">
        <v>28</v>
      </c>
      <c r="F16" s="8" t="s">
        <v>62</v>
      </c>
    </row>
    <row r="17" customFormat="false" ht="15" hidden="false" customHeight="false" outlineLevel="0" collapsed="false">
      <c r="B17" s="6" t="s">
        <v>63</v>
      </c>
      <c r="C17" s="8" t="s">
        <v>64</v>
      </c>
      <c r="D17" s="14" t="n">
        <v>5</v>
      </c>
      <c r="E17" s="14" t="s">
        <v>30</v>
      </c>
      <c r="F17" s="8" t="s">
        <v>65</v>
      </c>
    </row>
    <row r="18" customFormat="false" ht="15" hidden="false" customHeight="false" outlineLevel="0" collapsed="false">
      <c r="B18" s="6" t="s">
        <v>66</v>
      </c>
      <c r="C18" s="8" t="s">
        <v>67</v>
      </c>
      <c r="D18" s="14" t="n">
        <v>2</v>
      </c>
      <c r="E18" s="14" t="s">
        <v>28</v>
      </c>
      <c r="F18" s="8" t="s">
        <v>68</v>
      </c>
    </row>
    <row r="19" customFormat="false" ht="15" hidden="false" customHeight="false" outlineLevel="0" collapsed="false">
      <c r="B19" s="6" t="s">
        <v>69</v>
      </c>
      <c r="C19" s="8" t="s">
        <v>70</v>
      </c>
      <c r="D19" s="14" t="n">
        <v>4</v>
      </c>
      <c r="E19" s="14" t="s">
        <v>29</v>
      </c>
      <c r="F19" s="8" t="s">
        <v>71</v>
      </c>
    </row>
    <row r="20" customFormat="false" ht="15" hidden="false" customHeight="false" outlineLevel="0" collapsed="false">
      <c r="B20" s="6" t="s">
        <v>72</v>
      </c>
      <c r="C20" s="8" t="s">
        <v>73</v>
      </c>
      <c r="D20" s="14" t="n">
        <v>4</v>
      </c>
      <c r="E20" s="14" t="s">
        <v>29</v>
      </c>
      <c r="F20" s="8" t="s">
        <v>74</v>
      </c>
    </row>
    <row r="21" customFormat="false" ht="15" hidden="false" customHeight="false" outlineLevel="0" collapsed="false">
      <c r="B21" s="6" t="s">
        <v>75</v>
      </c>
      <c r="C21" s="8" t="s">
        <v>76</v>
      </c>
      <c r="D21" s="14" t="n">
        <v>1</v>
      </c>
      <c r="E21" s="14" t="s">
        <v>28</v>
      </c>
      <c r="F21" s="8" t="s">
        <v>53</v>
      </c>
    </row>
    <row r="22" customFormat="false" ht="15" hidden="false" customHeight="false" outlineLevel="0" collapsed="false">
      <c r="B22" s="6" t="s">
        <v>77</v>
      </c>
      <c r="C22" s="8" t="s">
        <v>78</v>
      </c>
      <c r="D22" s="14" t="n">
        <v>1</v>
      </c>
      <c r="E22" s="14" t="s">
        <v>28</v>
      </c>
      <c r="F22" s="8" t="s">
        <v>53</v>
      </c>
    </row>
    <row r="23" customFormat="false" ht="15" hidden="false" customHeight="false" outlineLevel="0" collapsed="false">
      <c r="B23" s="6" t="s">
        <v>79</v>
      </c>
      <c r="C23" s="8" t="s">
        <v>80</v>
      </c>
      <c r="D23" s="14" t="n">
        <v>1</v>
      </c>
      <c r="E23" s="14" t="s">
        <v>28</v>
      </c>
      <c r="F23" s="8" t="s">
        <v>53</v>
      </c>
    </row>
    <row r="24" customFormat="false" ht="15" hidden="false" customHeight="false" outlineLevel="0" collapsed="false">
      <c r="B24" s="6" t="s">
        <v>81</v>
      </c>
      <c r="C24" s="8" t="s">
        <v>82</v>
      </c>
      <c r="D24" s="14" t="n">
        <v>2</v>
      </c>
      <c r="E24" s="14" t="s">
        <v>28</v>
      </c>
      <c r="F24" s="8" t="s">
        <v>83</v>
      </c>
    </row>
    <row r="25" customFormat="false" ht="15" hidden="false" customHeight="false" outlineLevel="0" collapsed="false">
      <c r="B25" s="6" t="s">
        <v>84</v>
      </c>
      <c r="C25" s="8" t="s">
        <v>85</v>
      </c>
      <c r="D25" s="14" t="n">
        <v>1</v>
      </c>
      <c r="E25" s="14" t="s">
        <v>28</v>
      </c>
      <c r="F25" s="8" t="s">
        <v>86</v>
      </c>
    </row>
    <row r="26" customFormat="false" ht="15" hidden="false" customHeight="false" outlineLevel="0" collapsed="false">
      <c r="B26" s="6" t="s">
        <v>87</v>
      </c>
      <c r="C26" s="8" t="s">
        <v>88</v>
      </c>
      <c r="D26" s="14" t="n">
        <v>1</v>
      </c>
      <c r="E26" s="14" t="s">
        <v>28</v>
      </c>
      <c r="F26" s="8" t="s">
        <v>86</v>
      </c>
    </row>
    <row r="27" customFormat="false" ht="15" hidden="false" customHeight="false" outlineLevel="0" collapsed="false">
      <c r="B27" s="6" t="s">
        <v>89</v>
      </c>
      <c r="C27" s="8" t="s">
        <v>90</v>
      </c>
      <c r="D27" s="14" t="n">
        <v>1</v>
      </c>
      <c r="E27" s="14" t="s">
        <v>28</v>
      </c>
      <c r="F27" s="8" t="s">
        <v>86</v>
      </c>
    </row>
    <row r="28" customFormat="false" ht="15" hidden="false" customHeight="false" outlineLevel="0" collapsed="false">
      <c r="B28" s="6" t="s">
        <v>91</v>
      </c>
      <c r="C28" s="8" t="s">
        <v>92</v>
      </c>
      <c r="D28" s="14" t="n">
        <v>2</v>
      </c>
      <c r="E28" s="14" t="s">
        <v>28</v>
      </c>
      <c r="F28" s="8" t="s">
        <v>93</v>
      </c>
    </row>
    <row r="29" customFormat="false" ht="15" hidden="false" customHeight="false" outlineLevel="0" collapsed="false">
      <c r="B29" s="6" t="s">
        <v>94</v>
      </c>
      <c r="C29" s="8" t="s">
        <v>95</v>
      </c>
      <c r="D29" s="14" t="n">
        <v>2</v>
      </c>
      <c r="E29" s="14" t="s">
        <v>29</v>
      </c>
      <c r="F29" s="8" t="s">
        <v>96</v>
      </c>
    </row>
    <row r="30" customFormat="false" ht="15" hidden="false" customHeight="false" outlineLevel="0" collapsed="false">
      <c r="B30" s="6" t="s">
        <v>97</v>
      </c>
      <c r="C30" s="8" t="s">
        <v>98</v>
      </c>
      <c r="D30" s="14" t="n">
        <v>1</v>
      </c>
      <c r="E30" s="14" t="s">
        <v>28</v>
      </c>
      <c r="F30" s="8" t="s">
        <v>99</v>
      </c>
    </row>
    <row r="31" customFormat="false" ht="15" hidden="false" customHeight="false" outlineLevel="0" collapsed="false">
      <c r="B31" s="6" t="s">
        <v>100</v>
      </c>
      <c r="C31" s="8" t="s">
        <v>101</v>
      </c>
      <c r="D31" s="14" t="n">
        <v>2</v>
      </c>
      <c r="E31" s="14" t="s">
        <v>29</v>
      </c>
      <c r="F31" s="8" t="s">
        <v>96</v>
      </c>
    </row>
    <row r="32" customFormat="false" ht="15" hidden="false" customHeight="false" outlineLevel="0" collapsed="false">
      <c r="B32" s="6" t="s">
        <v>102</v>
      </c>
      <c r="C32" s="8" t="s">
        <v>103</v>
      </c>
      <c r="D32" s="14" t="n">
        <v>2</v>
      </c>
      <c r="E32" s="14" t="s">
        <v>28</v>
      </c>
      <c r="F32" s="8" t="s">
        <v>104</v>
      </c>
    </row>
    <row r="33" customFormat="false" ht="15" hidden="false" customHeight="false" outlineLevel="0" collapsed="false">
      <c r="B33" s="6" t="s">
        <v>105</v>
      </c>
      <c r="C33" s="8" t="s">
        <v>106</v>
      </c>
      <c r="D33" s="14" t="n">
        <v>1</v>
      </c>
      <c r="E33" s="14" t="s">
        <v>28</v>
      </c>
      <c r="F33" s="8" t="s">
        <v>62</v>
      </c>
    </row>
    <row r="34" customFormat="false" ht="15" hidden="false" customHeight="false" outlineLevel="0" collapsed="false">
      <c r="B34" s="6" t="s">
        <v>107</v>
      </c>
      <c r="C34" s="8" t="s">
        <v>108</v>
      </c>
      <c r="D34" s="14" t="n">
        <v>1</v>
      </c>
      <c r="E34" s="14" t="s">
        <v>28</v>
      </c>
      <c r="F34" s="8" t="s">
        <v>62</v>
      </c>
    </row>
    <row r="35" customFormat="false" ht="15" hidden="false" customHeight="false" outlineLevel="0" collapsed="false">
      <c r="B35" s="6" t="s">
        <v>109</v>
      </c>
      <c r="C35" s="8" t="s">
        <v>110</v>
      </c>
      <c r="D35" s="14" t="n">
        <v>1</v>
      </c>
      <c r="E35" s="14" t="s">
        <v>28</v>
      </c>
      <c r="F35" s="8" t="s">
        <v>62</v>
      </c>
    </row>
    <row r="36" customFormat="false" ht="15" hidden="false" customHeight="false" outlineLevel="0" collapsed="false">
      <c r="B36" s="6" t="s">
        <v>111</v>
      </c>
      <c r="C36" s="8" t="s">
        <v>112</v>
      </c>
      <c r="D36" s="14" t="n">
        <v>2</v>
      </c>
      <c r="E36" s="14" t="s">
        <v>28</v>
      </c>
      <c r="F36" s="8" t="s">
        <v>113</v>
      </c>
    </row>
    <row r="37" customFormat="false" ht="15" hidden="false" customHeight="false" outlineLevel="0" collapsed="false">
      <c r="B37" s="6" t="s">
        <v>114</v>
      </c>
      <c r="C37" s="8" t="s">
        <v>115</v>
      </c>
      <c r="D37" s="14" t="n">
        <v>4</v>
      </c>
      <c r="E37" s="14" t="s">
        <v>30</v>
      </c>
      <c r="F37" s="8" t="s">
        <v>116</v>
      </c>
    </row>
    <row r="38" customFormat="false" ht="15" hidden="false" customHeight="false" outlineLevel="0" collapsed="false">
      <c r="B38" s="6" t="s">
        <v>117</v>
      </c>
      <c r="C38" s="8" t="s">
        <v>118</v>
      </c>
      <c r="D38" s="14" t="n">
        <v>3</v>
      </c>
      <c r="E38" s="14" t="s">
        <v>29</v>
      </c>
      <c r="F38" s="8" t="s">
        <v>119</v>
      </c>
    </row>
    <row r="39" customFormat="false" ht="15" hidden="false" customHeight="false" outlineLevel="0" collapsed="false">
      <c r="B39" s="6" t="s">
        <v>120</v>
      </c>
      <c r="C39" s="8" t="s">
        <v>121</v>
      </c>
      <c r="D39" s="14" t="n">
        <v>5</v>
      </c>
      <c r="E39" s="14" t="s">
        <v>29</v>
      </c>
      <c r="F39" s="8" t="s">
        <v>122</v>
      </c>
    </row>
    <row r="40" customFormat="false" ht="15" hidden="false" customHeight="false" outlineLevel="0" collapsed="false">
      <c r="B40" s="6" t="s">
        <v>123</v>
      </c>
      <c r="C40" s="8" t="s">
        <v>124</v>
      </c>
      <c r="D40" s="14" t="n">
        <v>1</v>
      </c>
      <c r="E40" s="14" t="s">
        <v>28</v>
      </c>
      <c r="F40" s="8" t="s">
        <v>125</v>
      </c>
    </row>
    <row r="41" customFormat="false" ht="15" hidden="false" customHeight="false" outlineLevel="0" collapsed="false">
      <c r="B41" s="6" t="s">
        <v>126</v>
      </c>
      <c r="C41" s="8" t="s">
        <v>127</v>
      </c>
      <c r="D41" s="14" t="n">
        <v>2</v>
      </c>
      <c r="E41" s="14" t="s">
        <v>28</v>
      </c>
      <c r="F41" s="8" t="s">
        <v>68</v>
      </c>
    </row>
    <row r="42" customFormat="false" ht="15" hidden="false" customHeight="false" outlineLevel="0" collapsed="false">
      <c r="B42" s="6" t="s">
        <v>128</v>
      </c>
      <c r="C42" s="8" t="s">
        <v>129</v>
      </c>
      <c r="D42" s="14" t="n">
        <v>1</v>
      </c>
      <c r="E42" s="14" t="s">
        <v>28</v>
      </c>
      <c r="F42" s="8" t="s">
        <v>130</v>
      </c>
    </row>
    <row r="43" customFormat="false" ht="15" hidden="false" customHeight="false" outlineLevel="0" collapsed="false">
      <c r="B43" s="6" t="s">
        <v>131</v>
      </c>
      <c r="C43" s="8" t="s">
        <v>132</v>
      </c>
      <c r="D43" s="14" t="n">
        <v>2</v>
      </c>
      <c r="E43" s="14" t="s">
        <v>28</v>
      </c>
      <c r="F43" s="8" t="s">
        <v>68</v>
      </c>
    </row>
    <row r="44" customFormat="false" ht="15" hidden="false" customHeight="false" outlineLevel="0" collapsed="false">
      <c r="B44" s="6" t="s">
        <v>133</v>
      </c>
      <c r="C44" s="8" t="s">
        <v>134</v>
      </c>
      <c r="D44" s="14" t="n">
        <v>1</v>
      </c>
      <c r="E44" s="14" t="s">
        <v>28</v>
      </c>
      <c r="F44" s="8" t="s">
        <v>130</v>
      </c>
    </row>
    <row r="45" customFormat="false" ht="15" hidden="false" customHeight="false" outlineLevel="0" collapsed="false">
      <c r="B45" s="11" t="s">
        <v>42</v>
      </c>
      <c r="D45" s="11" t="n">
        <f aca="false">D10</f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50"/>
    <col collapsed="false" customWidth="true" hidden="false" outlineLevel="0" max="6" min="4" style="0" width="20"/>
  </cols>
  <sheetData>
    <row r="2" customFormat="false" ht="17.35" hidden="false" customHeight="false" outlineLevel="0" collapsed="false">
      <c r="B2" s="1" t="s">
        <v>135</v>
      </c>
    </row>
    <row r="4" customFormat="false" ht="15" hidden="false" customHeight="false" outlineLevel="0" collapsed="false">
      <c r="B4" s="4" t="s">
        <v>136</v>
      </c>
      <c r="C4" s="4"/>
      <c r="D4" s="4"/>
      <c r="E4" s="4"/>
      <c r="F4" s="4"/>
    </row>
    <row r="5" customFormat="false" ht="15" hidden="false" customHeight="false" outlineLevel="0" collapsed="false">
      <c r="A5" s="13"/>
      <c r="B5" s="13" t="s">
        <v>47</v>
      </c>
      <c r="C5" s="13" t="s">
        <v>34</v>
      </c>
      <c r="D5" s="13" t="s">
        <v>26</v>
      </c>
      <c r="E5" s="13" t="s">
        <v>137</v>
      </c>
    </row>
    <row r="6" customFormat="false" ht="15" hidden="false" customHeight="false" outlineLevel="0" collapsed="false">
      <c r="B6" s="8" t="s">
        <v>138</v>
      </c>
      <c r="C6" s="8" t="s">
        <v>139</v>
      </c>
      <c r="D6" s="14" t="n">
        <v>2</v>
      </c>
      <c r="E6" s="14" t="n">
        <v>0</v>
      </c>
    </row>
    <row r="7" customFormat="false" ht="15" hidden="false" customHeight="false" outlineLevel="0" collapsed="false">
      <c r="B7" s="8" t="s">
        <v>140</v>
      </c>
      <c r="C7" s="8" t="s">
        <v>141</v>
      </c>
      <c r="D7" s="14" t="n">
        <v>1</v>
      </c>
      <c r="E7" s="14" t="n">
        <v>3</v>
      </c>
    </row>
    <row r="8" customFormat="false" ht="15" hidden="false" customHeight="false" outlineLevel="0" collapsed="false">
      <c r="B8" s="8" t="s">
        <v>142</v>
      </c>
      <c r="C8" s="8" t="s">
        <v>143</v>
      </c>
      <c r="D8" s="14" t="n">
        <v>1</v>
      </c>
      <c r="E8" s="14" t="n">
        <v>2</v>
      </c>
    </row>
    <row r="9" customFormat="false" ht="15" hidden="false" customHeight="false" outlineLevel="0" collapsed="false">
      <c r="B9" s="8" t="s">
        <v>144</v>
      </c>
      <c r="C9" s="8" t="s">
        <v>145</v>
      </c>
      <c r="D9" s="14" t="n">
        <v>1</v>
      </c>
      <c r="E9" s="14" t="n">
        <v>0</v>
      </c>
    </row>
    <row r="10" customFormat="false" ht="15" hidden="false" customHeight="false" outlineLevel="0" collapsed="false">
      <c r="B10" s="8" t="s">
        <v>146</v>
      </c>
      <c r="C10" s="8" t="s">
        <v>147</v>
      </c>
      <c r="D10" s="14" t="n">
        <v>1</v>
      </c>
      <c r="E10" s="14" t="n">
        <v>0</v>
      </c>
    </row>
    <row r="11" customFormat="false" ht="15" hidden="false" customHeight="false" outlineLevel="0" collapsed="false">
      <c r="B11" s="8" t="s">
        <v>148</v>
      </c>
      <c r="C11" s="8" t="s">
        <v>149</v>
      </c>
      <c r="D11" s="14" t="n">
        <v>0.5</v>
      </c>
      <c r="E11" s="14" t="n">
        <v>4</v>
      </c>
    </row>
    <row r="12" customFormat="false" ht="15" hidden="false" customHeight="false" outlineLevel="0" collapsed="false">
      <c r="B12" s="8" t="s">
        <v>150</v>
      </c>
      <c r="C12" s="8" t="s">
        <v>151</v>
      </c>
      <c r="D12" s="14" t="n">
        <v>0.5</v>
      </c>
      <c r="E12" s="14" t="n">
        <v>5</v>
      </c>
    </row>
    <row r="13" customFormat="false" ht="15" hidden="false" customHeight="false" outlineLevel="0" collapsed="false">
      <c r="B13" s="8" t="s">
        <v>152</v>
      </c>
      <c r="C13" s="8" t="s">
        <v>153</v>
      </c>
      <c r="D13" s="14" t="n">
        <v>2</v>
      </c>
      <c r="E13" s="14" t="n">
        <v>0</v>
      </c>
    </row>
    <row r="14" customFormat="false" ht="15" hidden="false" customHeight="false" outlineLevel="0" collapsed="false">
      <c r="B14" s="8" t="s">
        <v>154</v>
      </c>
      <c r="C14" s="8" t="s">
        <v>155</v>
      </c>
      <c r="D14" s="14" t="n">
        <v>1</v>
      </c>
      <c r="E14" s="14" t="n">
        <v>3</v>
      </c>
    </row>
    <row r="15" customFormat="false" ht="15" hidden="false" customHeight="false" outlineLevel="0" collapsed="false">
      <c r="B15" s="8" t="s">
        <v>156</v>
      </c>
      <c r="C15" s="8" t="s">
        <v>157</v>
      </c>
      <c r="D15" s="14" t="n">
        <v>1</v>
      </c>
      <c r="E15" s="14" t="n">
        <v>0</v>
      </c>
    </row>
    <row r="16" customFormat="false" ht="15" hidden="false" customHeight="false" outlineLevel="0" collapsed="false">
      <c r="B16" s="8" t="s">
        <v>158</v>
      </c>
      <c r="C16" s="8" t="s">
        <v>159</v>
      </c>
      <c r="D16" s="14" t="n">
        <v>1</v>
      </c>
      <c r="E16" s="14" t="n">
        <v>3</v>
      </c>
    </row>
    <row r="17" customFormat="false" ht="15" hidden="false" customHeight="false" outlineLevel="0" collapsed="false">
      <c r="B17" s="8" t="s">
        <v>160</v>
      </c>
      <c r="C17" s="8" t="s">
        <v>161</v>
      </c>
      <c r="D17" s="14" t="n">
        <v>1</v>
      </c>
      <c r="E17" s="14" t="n">
        <v>0</v>
      </c>
    </row>
    <row r="18" customFormat="false" ht="15" hidden="false" customHeight="false" outlineLevel="0" collapsed="false">
      <c r="B18" s="8" t="s">
        <v>162</v>
      </c>
      <c r="C18" s="8" t="s">
        <v>163</v>
      </c>
      <c r="D18" s="14" t="n">
        <v>1</v>
      </c>
      <c r="E18" s="14" t="n">
        <v>0</v>
      </c>
    </row>
    <row r="19" customFormat="false" ht="15" hidden="false" customHeight="false" outlineLevel="0" collapsed="false">
      <c r="B19" s="10" t="s">
        <v>164</v>
      </c>
      <c r="C19" s="10"/>
      <c r="D19" s="10"/>
      <c r="E19" s="11" t="n">
        <f aca="false">0.6+(0.01*(D6*E6+D7*E7+D8*E8+D9*E9+D10*E10+D11*E11+D12*E12+D13*E13+D14*E14+D15*E15+D16*E16+D17*E17+D18*E18))</f>
        <v>0.755</v>
      </c>
    </row>
    <row r="22" customFormat="false" ht="15" hidden="false" customHeight="false" outlineLevel="0" collapsed="false">
      <c r="B22" s="4" t="s">
        <v>165</v>
      </c>
      <c r="C22" s="4"/>
      <c r="D22" s="4"/>
      <c r="E22" s="4"/>
      <c r="F22" s="4"/>
    </row>
    <row r="23" customFormat="false" ht="15" hidden="false" customHeight="false" outlineLevel="0" collapsed="false">
      <c r="A23" s="13"/>
      <c r="B23" s="13" t="s">
        <v>47</v>
      </c>
      <c r="C23" s="13" t="s">
        <v>34</v>
      </c>
      <c r="D23" s="13" t="s">
        <v>26</v>
      </c>
      <c r="E23" s="13" t="s">
        <v>137</v>
      </c>
    </row>
    <row r="24" customFormat="false" ht="15" hidden="false" customHeight="false" outlineLevel="0" collapsed="false">
      <c r="B24" s="8" t="s">
        <v>166</v>
      </c>
      <c r="C24" s="8" t="s">
        <v>167</v>
      </c>
      <c r="D24" s="14" t="n">
        <v>1.5</v>
      </c>
      <c r="E24" s="14" t="n">
        <v>1</v>
      </c>
    </row>
    <row r="25" customFormat="false" ht="15" hidden="false" customHeight="false" outlineLevel="0" collapsed="false">
      <c r="B25" s="8" t="s">
        <v>168</v>
      </c>
      <c r="C25" s="8" t="s">
        <v>169</v>
      </c>
      <c r="D25" s="14" t="n">
        <v>0.5</v>
      </c>
      <c r="E25" s="14" t="n">
        <v>1</v>
      </c>
    </row>
    <row r="26" customFormat="false" ht="15" hidden="false" customHeight="false" outlineLevel="0" collapsed="false">
      <c r="B26" s="8" t="s">
        <v>170</v>
      </c>
      <c r="C26" s="8" t="s">
        <v>171</v>
      </c>
      <c r="D26" s="14" t="n">
        <v>1</v>
      </c>
      <c r="E26" s="14" t="n">
        <v>2</v>
      </c>
    </row>
    <row r="27" customFormat="false" ht="15" hidden="false" customHeight="false" outlineLevel="0" collapsed="false">
      <c r="B27" s="8" t="s">
        <v>172</v>
      </c>
      <c r="C27" s="8" t="s">
        <v>173</v>
      </c>
      <c r="D27" s="14" t="n">
        <v>0.5</v>
      </c>
      <c r="E27" s="14" t="n">
        <v>2</v>
      </c>
    </row>
    <row r="28" customFormat="false" ht="15" hidden="false" customHeight="false" outlineLevel="0" collapsed="false">
      <c r="B28" s="8" t="s">
        <v>174</v>
      </c>
      <c r="C28" s="8" t="s">
        <v>175</v>
      </c>
      <c r="D28" s="14" t="n">
        <v>1</v>
      </c>
      <c r="E28" s="14" t="n">
        <v>3</v>
      </c>
    </row>
    <row r="29" customFormat="false" ht="15" hidden="false" customHeight="false" outlineLevel="0" collapsed="false">
      <c r="B29" s="8" t="s">
        <v>176</v>
      </c>
      <c r="C29" s="8" t="s">
        <v>177</v>
      </c>
      <c r="D29" s="14" t="n">
        <v>2</v>
      </c>
      <c r="E29" s="14" t="n">
        <v>4</v>
      </c>
    </row>
    <row r="30" customFormat="false" ht="15" hidden="false" customHeight="false" outlineLevel="0" collapsed="false">
      <c r="B30" s="8" t="s">
        <v>178</v>
      </c>
      <c r="C30" s="8" t="s">
        <v>179</v>
      </c>
      <c r="D30" s="14" t="n">
        <v>-1</v>
      </c>
      <c r="E30" s="14" t="n">
        <v>4</v>
      </c>
    </row>
    <row r="31" customFormat="false" ht="15" hidden="false" customHeight="false" outlineLevel="0" collapsed="false">
      <c r="B31" s="8" t="s">
        <v>180</v>
      </c>
      <c r="C31" s="8" t="s">
        <v>181</v>
      </c>
      <c r="D31" s="14" t="n">
        <v>-1</v>
      </c>
      <c r="E31" s="14" t="n">
        <v>3</v>
      </c>
    </row>
    <row r="32" customFormat="false" ht="15" hidden="false" customHeight="false" outlineLevel="0" collapsed="false">
      <c r="B32" s="10" t="s">
        <v>182</v>
      </c>
      <c r="C32" s="10"/>
      <c r="D32" s="10"/>
      <c r="E32" s="11" t="n">
        <f aca="false">1.4+(-0.03*(D24*E24+D25*E25+D26*E26+D27*E27+D28*E28+D29*E29+D30*E30+D31*E31))</f>
        <v>1.13</v>
      </c>
    </row>
  </sheetData>
  <mergeCells count="4">
    <mergeCell ref="B4:F4"/>
    <mergeCell ref="B19:D19"/>
    <mergeCell ref="B22:F22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2026-05-31T03:15:08Z</dcterms:created>
  <dc:creator>openpyxl</dc:creator>
  <dc:description/>
  <dc:language>en-US</dc:language>
  <cp:lastModifiedBy/>
  <dcterms:modified xsi:type="dcterms:W3CDTF">2026-05-31T03:15:08Z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